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eber\GitHub\Projetos\controle_financeiro\"/>
    </mc:Choice>
  </mc:AlternateContent>
  <xr:revisionPtr revIDLastSave="0" documentId="13_ncr:1_{3240F658-64D2-45F6-8529-DEE96339A262}" xr6:coauthVersionLast="47" xr6:coauthVersionMax="47" xr10:uidLastSave="{00000000-0000-0000-0000-000000000000}"/>
  <bookViews>
    <workbookView xWindow="-120" yWindow="-120" windowWidth="29040" windowHeight="15720" xr2:uid="{7E282F52-EF87-435A-8CAB-0C2C09F56CB5}"/>
  </bookViews>
  <sheets>
    <sheet name="Saldo mensal" sheetId="21" r:id="rId1"/>
    <sheet name="Consolidado" sheetId="19" r:id="rId2"/>
    <sheet name="Bradesco" sheetId="4" state="hidden" r:id="rId3"/>
    <sheet name="Nubank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6" l="1"/>
  <c r="L214" i="6"/>
  <c r="M214" i="6"/>
  <c r="N214" i="6"/>
  <c r="O214" i="6"/>
  <c r="P214" i="6"/>
  <c r="J214" i="6"/>
  <c r="I211" i="6"/>
  <c r="J211" i="6"/>
  <c r="K211" i="6"/>
  <c r="L211" i="6"/>
  <c r="M211" i="6"/>
  <c r="N211" i="6"/>
  <c r="O211" i="6"/>
  <c r="P211" i="6"/>
  <c r="I212" i="6"/>
  <c r="J212" i="6"/>
  <c r="K212" i="6"/>
  <c r="L212" i="6"/>
  <c r="M212" i="6"/>
  <c r="N212" i="6"/>
  <c r="O212" i="6"/>
  <c r="P212" i="6"/>
  <c r="J209" i="6"/>
  <c r="K209" i="6"/>
  <c r="L209" i="6"/>
  <c r="M209" i="6"/>
  <c r="N209" i="6"/>
  <c r="O209" i="6"/>
  <c r="P209" i="6"/>
  <c r="Q209" i="6"/>
  <c r="J210" i="6"/>
  <c r="K210" i="6"/>
  <c r="L210" i="6"/>
  <c r="M210" i="6"/>
  <c r="N210" i="6"/>
  <c r="O210" i="6"/>
  <c r="P210" i="6"/>
  <c r="Q210" i="6"/>
  <c r="I209" i="6"/>
  <c r="I210" i="6"/>
  <c r="E473" i="4"/>
  <c r="F473" i="4"/>
  <c r="G473" i="4"/>
  <c r="H473" i="4"/>
  <c r="E474" i="4"/>
  <c r="F474" i="4"/>
  <c r="G474" i="4"/>
  <c r="H474" i="4"/>
  <c r="E471" i="4"/>
  <c r="I471" i="4" s="1"/>
  <c r="F471" i="4"/>
  <c r="G471" i="4"/>
  <c r="H471" i="4"/>
  <c r="E472" i="4"/>
  <c r="F472" i="4"/>
  <c r="G472" i="4"/>
  <c r="H472" i="4"/>
  <c r="I472" i="4"/>
  <c r="I207" i="6"/>
  <c r="J207" i="6"/>
  <c r="K207" i="6"/>
  <c r="L207" i="6"/>
  <c r="M207" i="6"/>
  <c r="N207" i="6"/>
  <c r="O207" i="6"/>
  <c r="P207" i="6"/>
  <c r="Q207" i="6"/>
  <c r="I208" i="6"/>
  <c r="Q208" i="6" s="1"/>
  <c r="J208" i="6"/>
  <c r="K208" i="6"/>
  <c r="L208" i="6"/>
  <c r="M208" i="6"/>
  <c r="N208" i="6"/>
  <c r="O208" i="6"/>
  <c r="P208" i="6"/>
  <c r="E469" i="4"/>
  <c r="F469" i="4"/>
  <c r="G469" i="4"/>
  <c r="H469" i="4"/>
  <c r="I469" i="4"/>
  <c r="E470" i="4"/>
  <c r="F470" i="4"/>
  <c r="G470" i="4"/>
  <c r="H470" i="4"/>
  <c r="I470" i="4"/>
  <c r="O202" i="6"/>
  <c r="I206" i="6"/>
  <c r="Q206" i="6" s="1"/>
  <c r="J206" i="6"/>
  <c r="K206" i="6"/>
  <c r="L206" i="6"/>
  <c r="M206" i="6"/>
  <c r="N206" i="6"/>
  <c r="O206" i="6"/>
  <c r="P206" i="6"/>
  <c r="Q181" i="6"/>
  <c r="I204" i="6"/>
  <c r="J204" i="6"/>
  <c r="K204" i="6"/>
  <c r="L204" i="6"/>
  <c r="M204" i="6"/>
  <c r="N204" i="6"/>
  <c r="O204" i="6"/>
  <c r="P204" i="6"/>
  <c r="I205" i="6"/>
  <c r="J205" i="6"/>
  <c r="K205" i="6"/>
  <c r="L205" i="6"/>
  <c r="M205" i="6"/>
  <c r="N205" i="6"/>
  <c r="O205" i="6"/>
  <c r="P205" i="6"/>
  <c r="E468" i="4"/>
  <c r="I468" i="4" s="1"/>
  <c r="F468" i="4"/>
  <c r="G468" i="4"/>
  <c r="H468" i="4"/>
  <c r="E466" i="4"/>
  <c r="F466" i="4"/>
  <c r="G466" i="4"/>
  <c r="H466" i="4"/>
  <c r="E467" i="4"/>
  <c r="F467" i="4"/>
  <c r="G467" i="4"/>
  <c r="H467" i="4"/>
  <c r="Q203" i="6"/>
  <c r="K203" i="6"/>
  <c r="I203" i="6"/>
  <c r="L203" i="6"/>
  <c r="M203" i="6"/>
  <c r="N203" i="6"/>
  <c r="O203" i="6"/>
  <c r="P203" i="6"/>
  <c r="J203" i="6"/>
  <c r="I202" i="6"/>
  <c r="J202" i="6"/>
  <c r="K202" i="6"/>
  <c r="L202" i="6"/>
  <c r="M202" i="6"/>
  <c r="N202" i="6"/>
  <c r="P202" i="6"/>
  <c r="E464" i="4"/>
  <c r="F464" i="4"/>
  <c r="G464" i="4"/>
  <c r="H464" i="4"/>
  <c r="E465" i="4"/>
  <c r="F465" i="4"/>
  <c r="G465" i="4"/>
  <c r="H465" i="4"/>
  <c r="I465" i="4"/>
  <c r="Q201" i="6"/>
  <c r="O201" i="6"/>
  <c r="I201" i="6"/>
  <c r="J201" i="6"/>
  <c r="K201" i="6"/>
  <c r="L201" i="6"/>
  <c r="M201" i="6"/>
  <c r="N201" i="6"/>
  <c r="P201" i="6"/>
  <c r="E463" i="4"/>
  <c r="F463" i="4"/>
  <c r="G463" i="4"/>
  <c r="H463" i="4"/>
  <c r="I463" i="4"/>
  <c r="Q200" i="6"/>
  <c r="O200" i="6"/>
  <c r="I200" i="6"/>
  <c r="J200" i="6"/>
  <c r="K200" i="6"/>
  <c r="L200" i="6"/>
  <c r="M200" i="6"/>
  <c r="N200" i="6"/>
  <c r="P200" i="6"/>
  <c r="E462" i="4"/>
  <c r="F462" i="4"/>
  <c r="G462" i="4"/>
  <c r="H462" i="4"/>
  <c r="I462" i="4"/>
  <c r="I199" i="6"/>
  <c r="J199" i="6"/>
  <c r="K199" i="6"/>
  <c r="L199" i="6"/>
  <c r="M199" i="6"/>
  <c r="N199" i="6"/>
  <c r="O199" i="6"/>
  <c r="P199" i="6"/>
  <c r="Q199" i="6"/>
  <c r="I197" i="6"/>
  <c r="J197" i="6"/>
  <c r="K197" i="6"/>
  <c r="L197" i="6"/>
  <c r="M197" i="6"/>
  <c r="N197" i="6"/>
  <c r="O197" i="6"/>
  <c r="P197" i="6"/>
  <c r="I198" i="6"/>
  <c r="J198" i="6"/>
  <c r="K198" i="6"/>
  <c r="L198" i="6"/>
  <c r="M198" i="6"/>
  <c r="N198" i="6"/>
  <c r="O198" i="6"/>
  <c r="P198" i="6"/>
  <c r="E461" i="4"/>
  <c r="F461" i="4"/>
  <c r="G461" i="4"/>
  <c r="H461" i="4"/>
  <c r="I461" i="4"/>
  <c r="E459" i="4"/>
  <c r="F459" i="4"/>
  <c r="G459" i="4"/>
  <c r="H459" i="4"/>
  <c r="E460" i="4"/>
  <c r="F460" i="4"/>
  <c r="G460" i="4"/>
  <c r="H460" i="4"/>
  <c r="J196" i="6"/>
  <c r="K196" i="6"/>
  <c r="L196" i="6"/>
  <c r="M196" i="6"/>
  <c r="N196" i="6"/>
  <c r="O196" i="6"/>
  <c r="P196" i="6"/>
  <c r="Q196" i="6"/>
  <c r="I196" i="6"/>
  <c r="E458" i="4"/>
  <c r="F458" i="4"/>
  <c r="G458" i="4"/>
  <c r="G475" i="4" s="1"/>
  <c r="H458" i="4"/>
  <c r="I458" i="4"/>
  <c r="J195" i="6"/>
  <c r="K195" i="6"/>
  <c r="L195" i="6"/>
  <c r="M195" i="6"/>
  <c r="N195" i="6"/>
  <c r="O195" i="6"/>
  <c r="P195" i="6"/>
  <c r="I195" i="6"/>
  <c r="Q195" i="6" s="1"/>
  <c r="E457" i="4"/>
  <c r="F457" i="4"/>
  <c r="G457" i="4"/>
  <c r="H457" i="4"/>
  <c r="I457" i="4"/>
  <c r="I194" i="6"/>
  <c r="J194" i="6"/>
  <c r="K194" i="6"/>
  <c r="L194" i="6"/>
  <c r="M194" i="6"/>
  <c r="N194" i="6"/>
  <c r="O194" i="6"/>
  <c r="P194" i="6"/>
  <c r="Q194" i="6"/>
  <c r="E456" i="4"/>
  <c r="I456" i="4" s="1"/>
  <c r="F456" i="4"/>
  <c r="G456" i="4"/>
  <c r="H456" i="4"/>
  <c r="I193" i="6"/>
  <c r="Q193" i="6" s="1"/>
  <c r="J193" i="6"/>
  <c r="K193" i="6"/>
  <c r="L193" i="6"/>
  <c r="M193" i="6"/>
  <c r="N193" i="6"/>
  <c r="O193" i="6"/>
  <c r="P193" i="6"/>
  <c r="I455" i="4"/>
  <c r="H455" i="4"/>
  <c r="G455" i="4"/>
  <c r="F455" i="4"/>
  <c r="E455" i="4"/>
  <c r="H454" i="4"/>
  <c r="G454" i="4"/>
  <c r="F454" i="4"/>
  <c r="E452" i="4"/>
  <c r="F452" i="4"/>
  <c r="G452" i="4"/>
  <c r="H452" i="4"/>
  <c r="E453" i="4"/>
  <c r="F453" i="4"/>
  <c r="G453" i="4"/>
  <c r="H453" i="4"/>
  <c r="J192" i="6"/>
  <c r="K192" i="6"/>
  <c r="L192" i="6"/>
  <c r="M192" i="6"/>
  <c r="N192" i="6"/>
  <c r="O192" i="6"/>
  <c r="P192" i="6"/>
  <c r="E454" i="4"/>
  <c r="I454" i="4" s="1"/>
  <c r="I192" i="6"/>
  <c r="Q192" i="6" s="1"/>
  <c r="I190" i="6"/>
  <c r="J190" i="6"/>
  <c r="K190" i="6"/>
  <c r="L190" i="6"/>
  <c r="M190" i="6"/>
  <c r="N190" i="6"/>
  <c r="O190" i="6"/>
  <c r="P190" i="6"/>
  <c r="I191" i="6"/>
  <c r="J191" i="6"/>
  <c r="K191" i="6"/>
  <c r="L191" i="6"/>
  <c r="M191" i="6"/>
  <c r="N191" i="6"/>
  <c r="O191" i="6"/>
  <c r="P191" i="6"/>
  <c r="I189" i="6"/>
  <c r="J189" i="6"/>
  <c r="K189" i="6"/>
  <c r="L189" i="6"/>
  <c r="M189" i="6"/>
  <c r="N189" i="6"/>
  <c r="O189" i="6"/>
  <c r="P189" i="6"/>
  <c r="Q189" i="6"/>
  <c r="E451" i="4"/>
  <c r="F451" i="4"/>
  <c r="G451" i="4"/>
  <c r="H451" i="4"/>
  <c r="I451" i="4"/>
  <c r="J188" i="6"/>
  <c r="K188" i="6"/>
  <c r="L188" i="6"/>
  <c r="M188" i="6"/>
  <c r="N188" i="6"/>
  <c r="O188" i="6"/>
  <c r="P188" i="6"/>
  <c r="I188" i="6"/>
  <c r="Q188" i="6" s="1"/>
  <c r="F450" i="4"/>
  <c r="G450" i="4"/>
  <c r="H450" i="4"/>
  <c r="I450" i="4"/>
  <c r="E450" i="4"/>
  <c r="J187" i="6"/>
  <c r="K187" i="6"/>
  <c r="L187" i="6"/>
  <c r="M187" i="6"/>
  <c r="N187" i="6"/>
  <c r="O187" i="6"/>
  <c r="P187" i="6"/>
  <c r="I187" i="6"/>
  <c r="F449" i="4"/>
  <c r="G449" i="4"/>
  <c r="H449" i="4"/>
  <c r="I449" i="4"/>
  <c r="E449" i="4"/>
  <c r="K186" i="6"/>
  <c r="L186" i="6"/>
  <c r="M186" i="6"/>
  <c r="N186" i="6"/>
  <c r="O186" i="6"/>
  <c r="P186" i="6"/>
  <c r="J186" i="6"/>
  <c r="I186" i="6"/>
  <c r="Q186" i="6" s="1"/>
  <c r="I448" i="4"/>
  <c r="F448" i="4"/>
  <c r="H448" i="4"/>
  <c r="G448" i="4"/>
  <c r="E448" i="4"/>
  <c r="O185" i="6"/>
  <c r="K185" i="6"/>
  <c r="L185" i="6"/>
  <c r="M185" i="6"/>
  <c r="N185" i="6"/>
  <c r="P185" i="6"/>
  <c r="J185" i="6"/>
  <c r="Q185" i="6" s="1"/>
  <c r="I185" i="6"/>
  <c r="G447" i="4"/>
  <c r="H447" i="4"/>
  <c r="F447" i="4"/>
  <c r="E447" i="4"/>
  <c r="K180" i="6"/>
  <c r="I180" i="6"/>
  <c r="J180" i="6"/>
  <c r="L180" i="6"/>
  <c r="M180" i="6"/>
  <c r="N180" i="6"/>
  <c r="O180" i="6"/>
  <c r="P180" i="6"/>
  <c r="Q180" i="6"/>
  <c r="F443" i="4"/>
  <c r="I443" i="4" s="1"/>
  <c r="H443" i="4"/>
  <c r="E443" i="4"/>
  <c r="J179" i="6"/>
  <c r="K179" i="6"/>
  <c r="L179" i="6"/>
  <c r="M179" i="6"/>
  <c r="N179" i="6"/>
  <c r="O179" i="6"/>
  <c r="P179" i="6"/>
  <c r="I179" i="6"/>
  <c r="Q179" i="6" s="1"/>
  <c r="E442" i="4"/>
  <c r="F442" i="4"/>
  <c r="H442" i="4"/>
  <c r="F441" i="4"/>
  <c r="I441" i="4" s="1"/>
  <c r="H441" i="4"/>
  <c r="Q178" i="6"/>
  <c r="P178" i="6"/>
  <c r="J178" i="6"/>
  <c r="K178" i="6"/>
  <c r="L178" i="6"/>
  <c r="M178" i="6"/>
  <c r="N178" i="6"/>
  <c r="O178" i="6"/>
  <c r="I178" i="6"/>
  <c r="I177" i="6"/>
  <c r="E441" i="4"/>
  <c r="J177" i="6"/>
  <c r="K177" i="6"/>
  <c r="L177" i="6"/>
  <c r="M177" i="6"/>
  <c r="N177" i="6"/>
  <c r="O177" i="6"/>
  <c r="E440" i="4"/>
  <c r="F440" i="4"/>
  <c r="G440" i="4"/>
  <c r="H440" i="4"/>
  <c r="I176" i="6"/>
  <c r="J176" i="6"/>
  <c r="K176" i="6"/>
  <c r="L176" i="6"/>
  <c r="M176" i="6"/>
  <c r="N176" i="6"/>
  <c r="O176" i="6"/>
  <c r="I439" i="4"/>
  <c r="E439" i="4"/>
  <c r="F439" i="4"/>
  <c r="G439" i="4"/>
  <c r="H439" i="4"/>
  <c r="E437" i="4"/>
  <c r="F437" i="4"/>
  <c r="G437" i="4"/>
  <c r="H437" i="4"/>
  <c r="E438" i="4"/>
  <c r="F438" i="4"/>
  <c r="G438" i="4"/>
  <c r="H438" i="4"/>
  <c r="I174" i="6"/>
  <c r="J174" i="6"/>
  <c r="K174" i="6"/>
  <c r="L174" i="6"/>
  <c r="M174" i="6"/>
  <c r="N174" i="6"/>
  <c r="O174" i="6"/>
  <c r="I175" i="6"/>
  <c r="Q176" i="6" s="1"/>
  <c r="J175" i="6"/>
  <c r="K175" i="6"/>
  <c r="L175" i="6"/>
  <c r="M175" i="6"/>
  <c r="N175" i="6"/>
  <c r="O175" i="6"/>
  <c r="J173" i="6"/>
  <c r="K173" i="6"/>
  <c r="L173" i="6"/>
  <c r="M173" i="6"/>
  <c r="N173" i="6"/>
  <c r="O173" i="6"/>
  <c r="I173" i="6"/>
  <c r="Q173" i="6" s="1"/>
  <c r="E436" i="4"/>
  <c r="F436" i="4"/>
  <c r="G436" i="4"/>
  <c r="H436" i="4"/>
  <c r="I172" i="6"/>
  <c r="J172" i="6"/>
  <c r="K172" i="6"/>
  <c r="L172" i="6"/>
  <c r="M172" i="6"/>
  <c r="N172" i="6"/>
  <c r="O172" i="6"/>
  <c r="E435" i="4"/>
  <c r="F435" i="4"/>
  <c r="G435" i="4"/>
  <c r="H435" i="4"/>
  <c r="J171" i="6"/>
  <c r="K171" i="6"/>
  <c r="L171" i="6"/>
  <c r="M171" i="6"/>
  <c r="N171" i="6"/>
  <c r="O171" i="6"/>
  <c r="I171" i="6"/>
  <c r="Q171" i="6" s="1"/>
  <c r="E434" i="4"/>
  <c r="F434" i="4"/>
  <c r="G434" i="4"/>
  <c r="H434" i="4"/>
  <c r="J170" i="6"/>
  <c r="K170" i="6"/>
  <c r="L170" i="6"/>
  <c r="M170" i="6"/>
  <c r="N170" i="6"/>
  <c r="O170" i="6"/>
  <c r="I170" i="6"/>
  <c r="F433" i="4"/>
  <c r="G433" i="4"/>
  <c r="H433" i="4"/>
  <c r="E433" i="4"/>
  <c r="F432" i="4"/>
  <c r="G432" i="4"/>
  <c r="H432" i="4"/>
  <c r="E432" i="4"/>
  <c r="J169" i="6"/>
  <c r="K169" i="6"/>
  <c r="L169" i="6"/>
  <c r="M169" i="6"/>
  <c r="N169" i="6"/>
  <c r="O169" i="6"/>
  <c r="I169" i="6"/>
  <c r="J167" i="6"/>
  <c r="K167" i="6"/>
  <c r="L167" i="6"/>
  <c r="M167" i="6"/>
  <c r="N167" i="6"/>
  <c r="O167" i="6"/>
  <c r="J168" i="6"/>
  <c r="K168" i="6"/>
  <c r="L168" i="6"/>
  <c r="M168" i="6"/>
  <c r="N168" i="6"/>
  <c r="O168" i="6"/>
  <c r="I167" i="6"/>
  <c r="I168" i="6"/>
  <c r="O154" i="6"/>
  <c r="O153" i="6"/>
  <c r="J153" i="6"/>
  <c r="K153" i="6"/>
  <c r="L153" i="6"/>
  <c r="M153" i="6"/>
  <c r="N153" i="6"/>
  <c r="J154" i="6"/>
  <c r="K154" i="6"/>
  <c r="L154" i="6"/>
  <c r="M154" i="6"/>
  <c r="N154" i="6"/>
  <c r="I154" i="6"/>
  <c r="I153" i="6"/>
  <c r="J166" i="6"/>
  <c r="K166" i="6"/>
  <c r="L166" i="6"/>
  <c r="M166" i="6"/>
  <c r="N166" i="6"/>
  <c r="O166" i="6"/>
  <c r="I166" i="6"/>
  <c r="Q166" i="6" s="1"/>
  <c r="F430" i="4"/>
  <c r="G430" i="4"/>
  <c r="H430" i="4"/>
  <c r="F431" i="4"/>
  <c r="G431" i="4"/>
  <c r="H431" i="4"/>
  <c r="E431" i="4"/>
  <c r="E430" i="4"/>
  <c r="F429" i="4"/>
  <c r="I429" i="4" s="1"/>
  <c r="G429" i="4"/>
  <c r="H429" i="4"/>
  <c r="E429" i="4"/>
  <c r="J165" i="6"/>
  <c r="K165" i="6"/>
  <c r="L165" i="6"/>
  <c r="M165" i="6"/>
  <c r="N165" i="6"/>
  <c r="O165" i="6"/>
  <c r="I165" i="6"/>
  <c r="F428" i="4"/>
  <c r="G428" i="4"/>
  <c r="H428" i="4"/>
  <c r="E428" i="4"/>
  <c r="J164" i="6"/>
  <c r="K164" i="6"/>
  <c r="L164" i="6"/>
  <c r="M164" i="6"/>
  <c r="N164" i="6"/>
  <c r="O164" i="6"/>
  <c r="I164" i="6"/>
  <c r="F427" i="4"/>
  <c r="G427" i="4"/>
  <c r="H427" i="4"/>
  <c r="E427" i="4"/>
  <c r="G426" i="4"/>
  <c r="H426" i="4"/>
  <c r="F426" i="4"/>
  <c r="K163" i="6"/>
  <c r="L163" i="6"/>
  <c r="M163" i="6"/>
  <c r="N163" i="6"/>
  <c r="O163" i="6"/>
  <c r="J163" i="6"/>
  <c r="I163" i="6"/>
  <c r="E426" i="4"/>
  <c r="I160" i="6"/>
  <c r="J160" i="6"/>
  <c r="K160" i="6"/>
  <c r="L160" i="6"/>
  <c r="M160" i="6"/>
  <c r="N160" i="6"/>
  <c r="O160" i="6"/>
  <c r="I161" i="6"/>
  <c r="J161" i="6"/>
  <c r="K161" i="6"/>
  <c r="L161" i="6"/>
  <c r="M161" i="6"/>
  <c r="N161" i="6"/>
  <c r="O161" i="6"/>
  <c r="F423" i="4"/>
  <c r="G423" i="4"/>
  <c r="H423" i="4"/>
  <c r="F424" i="4"/>
  <c r="G424" i="4"/>
  <c r="H424" i="4"/>
  <c r="E423" i="4"/>
  <c r="E424" i="4"/>
  <c r="K162" i="6"/>
  <c r="I162" i="6"/>
  <c r="L162" i="6"/>
  <c r="M162" i="6"/>
  <c r="N162" i="6"/>
  <c r="O162" i="6"/>
  <c r="J162" i="6"/>
  <c r="E425" i="4"/>
  <c r="F425" i="4"/>
  <c r="G425" i="4"/>
  <c r="H425" i="4"/>
  <c r="J159" i="6"/>
  <c r="K159" i="6"/>
  <c r="L159" i="6"/>
  <c r="M159" i="6"/>
  <c r="N159" i="6"/>
  <c r="O159" i="6"/>
  <c r="I159" i="6"/>
  <c r="F422" i="4"/>
  <c r="I422" i="4" s="1"/>
  <c r="G422" i="4"/>
  <c r="H422" i="4"/>
  <c r="E422" i="4"/>
  <c r="J158" i="6"/>
  <c r="K158" i="6"/>
  <c r="L158" i="6"/>
  <c r="M158" i="6"/>
  <c r="N158" i="6"/>
  <c r="O158" i="6"/>
  <c r="I158" i="6"/>
  <c r="E421" i="4"/>
  <c r="F421" i="4"/>
  <c r="G421" i="4"/>
  <c r="H421" i="4"/>
  <c r="J157" i="6"/>
  <c r="K157" i="6"/>
  <c r="L157" i="6"/>
  <c r="M157" i="6"/>
  <c r="N157" i="6"/>
  <c r="O157" i="6"/>
  <c r="I157" i="6"/>
  <c r="F420" i="4"/>
  <c r="I420" i="4" s="1"/>
  <c r="G420" i="4"/>
  <c r="H420" i="4"/>
  <c r="E420" i="4"/>
  <c r="J156" i="6"/>
  <c r="K156" i="6"/>
  <c r="L156" i="6"/>
  <c r="M156" i="6"/>
  <c r="N156" i="6"/>
  <c r="O156" i="6"/>
  <c r="I156" i="6"/>
  <c r="E419" i="4"/>
  <c r="F419" i="4"/>
  <c r="G419" i="4"/>
  <c r="H419" i="4"/>
  <c r="K155" i="6"/>
  <c r="I155" i="6"/>
  <c r="O155" i="6"/>
  <c r="L155" i="6"/>
  <c r="M155" i="6"/>
  <c r="N155" i="6"/>
  <c r="J155" i="6"/>
  <c r="E418" i="4"/>
  <c r="F418" i="4"/>
  <c r="G418" i="4"/>
  <c r="H418" i="4"/>
  <c r="G417" i="4"/>
  <c r="G416" i="4"/>
  <c r="E416" i="4"/>
  <c r="F416" i="4"/>
  <c r="H416" i="4"/>
  <c r="E417" i="4"/>
  <c r="F417" i="4"/>
  <c r="H417" i="4"/>
  <c r="L152" i="6"/>
  <c r="I152" i="6"/>
  <c r="M152" i="6"/>
  <c r="N152" i="6"/>
  <c r="O152" i="6"/>
  <c r="J152" i="6"/>
  <c r="K152" i="6"/>
  <c r="G415" i="4"/>
  <c r="F415" i="4"/>
  <c r="H415" i="4"/>
  <c r="E415" i="4"/>
  <c r="O151" i="6"/>
  <c r="K151" i="6"/>
  <c r="L151" i="6"/>
  <c r="M151" i="6"/>
  <c r="N151" i="6"/>
  <c r="J151" i="6"/>
  <c r="I151" i="6"/>
  <c r="G414" i="4"/>
  <c r="H414" i="4"/>
  <c r="F414" i="4"/>
  <c r="E414" i="4"/>
  <c r="I150" i="6"/>
  <c r="K150" i="6"/>
  <c r="O150" i="6"/>
  <c r="L150" i="6"/>
  <c r="M150" i="6"/>
  <c r="N150" i="6"/>
  <c r="J150" i="6"/>
  <c r="G413" i="4"/>
  <c r="H413" i="4"/>
  <c r="F413" i="4"/>
  <c r="E413" i="4"/>
  <c r="K146" i="6"/>
  <c r="I146" i="6"/>
  <c r="L146" i="6"/>
  <c r="M146" i="6"/>
  <c r="N146" i="6"/>
  <c r="O146" i="6"/>
  <c r="J146" i="6"/>
  <c r="F409" i="4"/>
  <c r="G409" i="4"/>
  <c r="H409" i="4"/>
  <c r="E409" i="4"/>
  <c r="I145" i="6"/>
  <c r="J145" i="6"/>
  <c r="K145" i="6"/>
  <c r="L145" i="6"/>
  <c r="M145" i="6"/>
  <c r="N145" i="6"/>
  <c r="O145" i="6"/>
  <c r="E408" i="4"/>
  <c r="F408" i="4"/>
  <c r="G408" i="4"/>
  <c r="H408" i="4"/>
  <c r="J143" i="6"/>
  <c r="K143" i="6"/>
  <c r="L143" i="6"/>
  <c r="M143" i="6"/>
  <c r="N143" i="6"/>
  <c r="O143" i="6"/>
  <c r="J144" i="6"/>
  <c r="K144" i="6"/>
  <c r="L144" i="6"/>
  <c r="M144" i="6"/>
  <c r="N144" i="6"/>
  <c r="O144" i="6"/>
  <c r="I143" i="6"/>
  <c r="I144" i="6"/>
  <c r="K142" i="6"/>
  <c r="I142" i="6"/>
  <c r="L142" i="6"/>
  <c r="M142" i="6"/>
  <c r="N142" i="6"/>
  <c r="O142" i="6"/>
  <c r="J142" i="6"/>
  <c r="K141" i="6"/>
  <c r="I141" i="6"/>
  <c r="F406" i="4"/>
  <c r="G406" i="4"/>
  <c r="H406" i="4"/>
  <c r="F407" i="4"/>
  <c r="G407" i="4"/>
  <c r="H407" i="4"/>
  <c r="E406" i="4"/>
  <c r="E407" i="4"/>
  <c r="F405" i="4"/>
  <c r="G405" i="4"/>
  <c r="H405" i="4"/>
  <c r="E405" i="4"/>
  <c r="L141" i="6"/>
  <c r="M141" i="6"/>
  <c r="N141" i="6"/>
  <c r="O141" i="6"/>
  <c r="J141" i="6"/>
  <c r="F404" i="4"/>
  <c r="G404" i="4"/>
  <c r="H404" i="4"/>
  <c r="E404" i="4"/>
  <c r="K140" i="6"/>
  <c r="I140" i="6"/>
  <c r="L140" i="6"/>
  <c r="M140" i="6"/>
  <c r="N140" i="6"/>
  <c r="O140" i="6"/>
  <c r="J140" i="6"/>
  <c r="E403" i="4"/>
  <c r="F403" i="4"/>
  <c r="G403" i="4"/>
  <c r="H403" i="4"/>
  <c r="K139" i="6"/>
  <c r="I139" i="6"/>
  <c r="L139" i="6"/>
  <c r="M139" i="6"/>
  <c r="N139" i="6"/>
  <c r="O139" i="6"/>
  <c r="J139" i="6"/>
  <c r="E402" i="4"/>
  <c r="F402" i="4"/>
  <c r="G402" i="4"/>
  <c r="H402" i="4"/>
  <c r="I138" i="6"/>
  <c r="J138" i="6"/>
  <c r="K138" i="6"/>
  <c r="L138" i="6"/>
  <c r="M138" i="6"/>
  <c r="N138" i="6"/>
  <c r="O138" i="6"/>
  <c r="E401" i="4"/>
  <c r="F401" i="4"/>
  <c r="G401" i="4"/>
  <c r="H401" i="4"/>
  <c r="E399" i="4"/>
  <c r="F399" i="4"/>
  <c r="G399" i="4"/>
  <c r="H399" i="4"/>
  <c r="E400" i="4"/>
  <c r="F400" i="4"/>
  <c r="G400" i="4"/>
  <c r="H400" i="4"/>
  <c r="I136" i="6"/>
  <c r="J136" i="6"/>
  <c r="K136" i="6"/>
  <c r="L136" i="6"/>
  <c r="M136" i="6"/>
  <c r="N136" i="6"/>
  <c r="O136" i="6"/>
  <c r="I137" i="6"/>
  <c r="J137" i="6"/>
  <c r="K137" i="6"/>
  <c r="L137" i="6"/>
  <c r="M137" i="6"/>
  <c r="N137" i="6"/>
  <c r="O137" i="6"/>
  <c r="J135" i="6"/>
  <c r="K135" i="6"/>
  <c r="L135" i="6"/>
  <c r="M135" i="6"/>
  <c r="N135" i="6"/>
  <c r="O135" i="6"/>
  <c r="I135" i="6"/>
  <c r="F398" i="4"/>
  <c r="G398" i="4"/>
  <c r="H398" i="4"/>
  <c r="E398" i="4"/>
  <c r="J134" i="6"/>
  <c r="K134" i="6"/>
  <c r="L134" i="6"/>
  <c r="M134" i="6"/>
  <c r="N134" i="6"/>
  <c r="O134" i="6"/>
  <c r="I134" i="6"/>
  <c r="F397" i="4"/>
  <c r="G397" i="4"/>
  <c r="H397" i="4"/>
  <c r="E397" i="4"/>
  <c r="F396" i="4"/>
  <c r="G396" i="4"/>
  <c r="H396" i="4"/>
  <c r="E396" i="4"/>
  <c r="J133" i="6"/>
  <c r="K133" i="6"/>
  <c r="L133" i="6"/>
  <c r="M133" i="6"/>
  <c r="N133" i="6"/>
  <c r="O133" i="6"/>
  <c r="I133" i="6"/>
  <c r="J132" i="6"/>
  <c r="K132" i="6"/>
  <c r="L132" i="6"/>
  <c r="M132" i="6"/>
  <c r="N132" i="6"/>
  <c r="O132" i="6"/>
  <c r="I132" i="6"/>
  <c r="F395" i="4"/>
  <c r="G395" i="4"/>
  <c r="H395" i="4"/>
  <c r="E395" i="4"/>
  <c r="K131" i="6"/>
  <c r="J128" i="6"/>
  <c r="K128" i="6"/>
  <c r="L128" i="6"/>
  <c r="M128" i="6"/>
  <c r="N128" i="6"/>
  <c r="O128" i="6"/>
  <c r="J129" i="6"/>
  <c r="K129" i="6"/>
  <c r="L129" i="6"/>
  <c r="M129" i="6"/>
  <c r="N129" i="6"/>
  <c r="O129" i="6"/>
  <c r="J130" i="6"/>
  <c r="K130" i="6"/>
  <c r="L130" i="6"/>
  <c r="M130" i="6"/>
  <c r="N130" i="6"/>
  <c r="O130" i="6"/>
  <c r="J131" i="6"/>
  <c r="L131" i="6"/>
  <c r="M131" i="6"/>
  <c r="N131" i="6"/>
  <c r="O131" i="6"/>
  <c r="I128" i="6"/>
  <c r="I129" i="6"/>
  <c r="I130" i="6"/>
  <c r="I131" i="6"/>
  <c r="F393" i="4"/>
  <c r="G393" i="4"/>
  <c r="H393" i="4"/>
  <c r="F394" i="4"/>
  <c r="G394" i="4"/>
  <c r="H394" i="4"/>
  <c r="E393" i="4"/>
  <c r="E394" i="4"/>
  <c r="F391" i="4"/>
  <c r="G391" i="4"/>
  <c r="H391" i="4"/>
  <c r="F392" i="4"/>
  <c r="G392" i="4"/>
  <c r="H392" i="4"/>
  <c r="E391" i="4"/>
  <c r="E392" i="4"/>
  <c r="J127" i="6"/>
  <c r="K127" i="6"/>
  <c r="L127" i="6"/>
  <c r="M127" i="6"/>
  <c r="N127" i="6"/>
  <c r="O127" i="6"/>
  <c r="I127" i="6"/>
  <c r="F390" i="4"/>
  <c r="G390" i="4"/>
  <c r="H390" i="4"/>
  <c r="E390" i="4"/>
  <c r="J126" i="6"/>
  <c r="K126" i="6"/>
  <c r="L126" i="6"/>
  <c r="M126" i="6"/>
  <c r="N126" i="6"/>
  <c r="O126" i="6"/>
  <c r="I126" i="6"/>
  <c r="F389" i="4"/>
  <c r="G389" i="4"/>
  <c r="H389" i="4"/>
  <c r="E389" i="4"/>
  <c r="J125" i="6"/>
  <c r="K125" i="6"/>
  <c r="L125" i="6"/>
  <c r="M125" i="6"/>
  <c r="N125" i="6"/>
  <c r="O125" i="6"/>
  <c r="I125" i="6"/>
  <c r="F388" i="4"/>
  <c r="G388" i="4"/>
  <c r="H388" i="4"/>
  <c r="E388" i="4"/>
  <c r="F386" i="4"/>
  <c r="G386" i="4"/>
  <c r="H386" i="4"/>
  <c r="E386" i="4"/>
  <c r="E385" i="4"/>
  <c r="H387" i="4"/>
  <c r="G387" i="4"/>
  <c r="F387" i="4"/>
  <c r="E387" i="4"/>
  <c r="J123" i="6"/>
  <c r="K123" i="6"/>
  <c r="L123" i="6"/>
  <c r="M123" i="6"/>
  <c r="N123" i="6"/>
  <c r="O123" i="6"/>
  <c r="I123" i="6"/>
  <c r="O124" i="6"/>
  <c r="N124" i="6"/>
  <c r="M124" i="6"/>
  <c r="L124" i="6"/>
  <c r="K124" i="6"/>
  <c r="J124" i="6"/>
  <c r="I124" i="6"/>
  <c r="I122" i="6"/>
  <c r="K122" i="6"/>
  <c r="L122" i="6"/>
  <c r="M122" i="6"/>
  <c r="N122" i="6"/>
  <c r="O122" i="6"/>
  <c r="J122" i="6"/>
  <c r="F385" i="4"/>
  <c r="G385" i="4"/>
  <c r="H385" i="4"/>
  <c r="K121" i="6"/>
  <c r="I121" i="6"/>
  <c r="O121" i="6"/>
  <c r="L121" i="6"/>
  <c r="M121" i="6"/>
  <c r="N121" i="6"/>
  <c r="J121" i="6"/>
  <c r="F384" i="4"/>
  <c r="G384" i="4"/>
  <c r="H384" i="4"/>
  <c r="E384" i="4"/>
  <c r="K120" i="6"/>
  <c r="I120" i="6"/>
  <c r="L120" i="6"/>
  <c r="M120" i="6"/>
  <c r="N120" i="6"/>
  <c r="O120" i="6"/>
  <c r="J120" i="6"/>
  <c r="F383" i="4"/>
  <c r="G383" i="4"/>
  <c r="H383" i="4"/>
  <c r="E383" i="4"/>
  <c r="K119" i="6"/>
  <c r="I119" i="6"/>
  <c r="L119" i="6"/>
  <c r="M119" i="6"/>
  <c r="N119" i="6"/>
  <c r="O119" i="6"/>
  <c r="J119" i="6"/>
  <c r="O118" i="6"/>
  <c r="K118" i="6"/>
  <c r="I118" i="6"/>
  <c r="F382" i="4"/>
  <c r="G382" i="4"/>
  <c r="H382" i="4"/>
  <c r="E382" i="4"/>
  <c r="I117" i="6"/>
  <c r="L118" i="6"/>
  <c r="M118" i="6"/>
  <c r="N118" i="6"/>
  <c r="J118" i="6"/>
  <c r="K117" i="6"/>
  <c r="L117" i="6"/>
  <c r="M117" i="6"/>
  <c r="N117" i="6"/>
  <c r="O117" i="6"/>
  <c r="J117" i="6"/>
  <c r="E381" i="4"/>
  <c r="E380" i="4"/>
  <c r="G381" i="4"/>
  <c r="H381" i="4"/>
  <c r="F381" i="4"/>
  <c r="G380" i="4"/>
  <c r="H380" i="4"/>
  <c r="F380" i="4"/>
  <c r="K113" i="6"/>
  <c r="K112" i="6"/>
  <c r="K111" i="6"/>
  <c r="I111" i="6"/>
  <c r="I112" i="6"/>
  <c r="I113" i="6"/>
  <c r="J111" i="6"/>
  <c r="L111" i="6"/>
  <c r="M111" i="6"/>
  <c r="N111" i="6"/>
  <c r="O111" i="6"/>
  <c r="J112" i="6"/>
  <c r="L112" i="6"/>
  <c r="M112" i="6"/>
  <c r="N112" i="6"/>
  <c r="O112" i="6"/>
  <c r="J113" i="6"/>
  <c r="L113" i="6"/>
  <c r="M113" i="6"/>
  <c r="N113" i="6"/>
  <c r="O113" i="6"/>
  <c r="E374" i="4"/>
  <c r="F374" i="4"/>
  <c r="G374" i="4"/>
  <c r="H374" i="4"/>
  <c r="E375" i="4"/>
  <c r="F375" i="4"/>
  <c r="G375" i="4"/>
  <c r="H375" i="4"/>
  <c r="E373" i="4"/>
  <c r="F373" i="4"/>
  <c r="G373" i="4"/>
  <c r="H373" i="4"/>
  <c r="J110" i="6"/>
  <c r="K110" i="6"/>
  <c r="L110" i="6"/>
  <c r="M110" i="6"/>
  <c r="N110" i="6"/>
  <c r="O110" i="6"/>
  <c r="I110" i="6"/>
  <c r="E372" i="4"/>
  <c r="F372" i="4"/>
  <c r="G372" i="4"/>
  <c r="H372" i="4"/>
  <c r="J109" i="6"/>
  <c r="K109" i="6"/>
  <c r="L109" i="6"/>
  <c r="M109" i="6"/>
  <c r="N109" i="6"/>
  <c r="O109" i="6"/>
  <c r="I109" i="6"/>
  <c r="E371" i="4"/>
  <c r="F371" i="4"/>
  <c r="G371" i="4"/>
  <c r="H371" i="4"/>
  <c r="J108" i="6"/>
  <c r="K108" i="6"/>
  <c r="L108" i="6"/>
  <c r="M108" i="6"/>
  <c r="N108" i="6"/>
  <c r="O108" i="6"/>
  <c r="I108" i="6"/>
  <c r="E370" i="4"/>
  <c r="F370" i="4"/>
  <c r="G370" i="4"/>
  <c r="H370" i="4"/>
  <c r="K107" i="6"/>
  <c r="I107" i="6"/>
  <c r="L107" i="6"/>
  <c r="M107" i="6"/>
  <c r="N107" i="6"/>
  <c r="O107" i="6"/>
  <c r="J107" i="6"/>
  <c r="E369" i="4"/>
  <c r="F369" i="4"/>
  <c r="G369" i="4"/>
  <c r="H369" i="4"/>
  <c r="E367" i="4"/>
  <c r="F367" i="4"/>
  <c r="G367" i="4"/>
  <c r="H367" i="4"/>
  <c r="E368" i="4"/>
  <c r="F368" i="4"/>
  <c r="G368" i="4"/>
  <c r="H368" i="4"/>
  <c r="I105" i="6"/>
  <c r="J105" i="6"/>
  <c r="K105" i="6"/>
  <c r="L105" i="6"/>
  <c r="M105" i="6"/>
  <c r="N105" i="6"/>
  <c r="O105" i="6"/>
  <c r="I106" i="6"/>
  <c r="J106" i="6"/>
  <c r="K106" i="6"/>
  <c r="L106" i="6"/>
  <c r="M106" i="6"/>
  <c r="N106" i="6"/>
  <c r="O106" i="6"/>
  <c r="K104" i="6"/>
  <c r="I104" i="6"/>
  <c r="L104" i="6"/>
  <c r="M104" i="6"/>
  <c r="N104" i="6"/>
  <c r="O104" i="6"/>
  <c r="J104" i="6"/>
  <c r="E366" i="4"/>
  <c r="F366" i="4"/>
  <c r="G366" i="4"/>
  <c r="H366" i="4"/>
  <c r="J103" i="6"/>
  <c r="K103" i="6"/>
  <c r="L103" i="6"/>
  <c r="M103" i="6"/>
  <c r="N103" i="6"/>
  <c r="O103" i="6"/>
  <c r="I103" i="6"/>
  <c r="E365" i="4"/>
  <c r="F365" i="4"/>
  <c r="G365" i="4"/>
  <c r="H365" i="4"/>
  <c r="K102" i="6"/>
  <c r="I102" i="6"/>
  <c r="L102" i="6"/>
  <c r="M102" i="6"/>
  <c r="N102" i="6"/>
  <c r="O102" i="6"/>
  <c r="J102" i="6"/>
  <c r="K101" i="6"/>
  <c r="I101" i="6"/>
  <c r="F364" i="4"/>
  <c r="G364" i="4"/>
  <c r="H364" i="4"/>
  <c r="E364" i="4"/>
  <c r="L101" i="6"/>
  <c r="M101" i="6"/>
  <c r="N101" i="6"/>
  <c r="O101" i="6"/>
  <c r="J101" i="6"/>
  <c r="F363" i="4"/>
  <c r="G363" i="4"/>
  <c r="H363" i="4"/>
  <c r="E363" i="4"/>
  <c r="K100" i="6"/>
  <c r="I100" i="6"/>
  <c r="L100" i="6"/>
  <c r="M100" i="6"/>
  <c r="N100" i="6"/>
  <c r="O100" i="6"/>
  <c r="J100" i="6"/>
  <c r="F362" i="4"/>
  <c r="G362" i="4"/>
  <c r="H362" i="4"/>
  <c r="E362" i="4"/>
  <c r="E276" i="4"/>
  <c r="I98" i="6"/>
  <c r="J98" i="6"/>
  <c r="K98" i="6"/>
  <c r="L98" i="6"/>
  <c r="M98" i="6"/>
  <c r="N98" i="6"/>
  <c r="O98" i="6"/>
  <c r="I99" i="6"/>
  <c r="J99" i="6"/>
  <c r="K99" i="6"/>
  <c r="L99" i="6"/>
  <c r="M99" i="6"/>
  <c r="N99" i="6"/>
  <c r="O99" i="6"/>
  <c r="K97" i="6"/>
  <c r="I97" i="6"/>
  <c r="L97" i="6"/>
  <c r="M97" i="6"/>
  <c r="N97" i="6"/>
  <c r="O97" i="6"/>
  <c r="J97" i="6"/>
  <c r="E360" i="4"/>
  <c r="F360" i="4"/>
  <c r="G360" i="4"/>
  <c r="H360" i="4"/>
  <c r="E361" i="4"/>
  <c r="F361" i="4"/>
  <c r="G361" i="4"/>
  <c r="H361" i="4"/>
  <c r="E359" i="4"/>
  <c r="F359" i="4"/>
  <c r="G359" i="4"/>
  <c r="H359" i="4"/>
  <c r="J96" i="6"/>
  <c r="K96" i="6"/>
  <c r="L96" i="6"/>
  <c r="M96" i="6"/>
  <c r="N96" i="6"/>
  <c r="O96" i="6"/>
  <c r="I96" i="6"/>
  <c r="F358" i="4"/>
  <c r="G358" i="4"/>
  <c r="H358" i="4"/>
  <c r="E358" i="4"/>
  <c r="J95" i="6"/>
  <c r="K95" i="6"/>
  <c r="L95" i="6"/>
  <c r="M95" i="6"/>
  <c r="N95" i="6"/>
  <c r="O95" i="6"/>
  <c r="I95" i="6"/>
  <c r="F357" i="4"/>
  <c r="G357" i="4"/>
  <c r="H357" i="4"/>
  <c r="E357" i="4"/>
  <c r="K94" i="6"/>
  <c r="I94" i="6"/>
  <c r="L94" i="6"/>
  <c r="M94" i="6"/>
  <c r="N94" i="6"/>
  <c r="O94" i="6"/>
  <c r="J94" i="6"/>
  <c r="F356" i="4"/>
  <c r="G356" i="4"/>
  <c r="H356" i="4"/>
  <c r="E356" i="4"/>
  <c r="K93" i="6"/>
  <c r="I93" i="6"/>
  <c r="L93" i="6"/>
  <c r="M93" i="6"/>
  <c r="N93" i="6"/>
  <c r="O93" i="6"/>
  <c r="J93" i="6"/>
  <c r="I91" i="6"/>
  <c r="J91" i="6"/>
  <c r="K91" i="6"/>
  <c r="L91" i="6"/>
  <c r="M91" i="6"/>
  <c r="N91" i="6"/>
  <c r="O91" i="6"/>
  <c r="I92" i="6"/>
  <c r="J92" i="6"/>
  <c r="K92" i="6"/>
  <c r="L92" i="6"/>
  <c r="M92" i="6"/>
  <c r="N92" i="6"/>
  <c r="O92" i="6"/>
  <c r="F355" i="4"/>
  <c r="G355" i="4"/>
  <c r="H355" i="4"/>
  <c r="E355" i="4"/>
  <c r="F353" i="4"/>
  <c r="G353" i="4"/>
  <c r="H353" i="4"/>
  <c r="F354" i="4"/>
  <c r="G354" i="4"/>
  <c r="H354" i="4"/>
  <c r="E353" i="4"/>
  <c r="E354" i="4"/>
  <c r="K90" i="6"/>
  <c r="I90" i="6"/>
  <c r="L90" i="6"/>
  <c r="M90" i="6"/>
  <c r="N90" i="6"/>
  <c r="O90" i="6"/>
  <c r="J90" i="6"/>
  <c r="F352" i="4"/>
  <c r="G352" i="4"/>
  <c r="H352" i="4"/>
  <c r="E352" i="4"/>
  <c r="K89" i="6"/>
  <c r="I89" i="6"/>
  <c r="L89" i="6"/>
  <c r="M89" i="6"/>
  <c r="N89" i="6"/>
  <c r="O89" i="6"/>
  <c r="J89" i="6"/>
  <c r="F351" i="4"/>
  <c r="G351" i="4"/>
  <c r="H351" i="4"/>
  <c r="E351" i="4"/>
  <c r="K88" i="6"/>
  <c r="I88" i="6"/>
  <c r="L88" i="6"/>
  <c r="M88" i="6"/>
  <c r="N88" i="6"/>
  <c r="O88" i="6"/>
  <c r="J88" i="6"/>
  <c r="K87" i="6"/>
  <c r="I87" i="6"/>
  <c r="E350" i="4"/>
  <c r="F350" i="4"/>
  <c r="G350" i="4"/>
  <c r="H350" i="4"/>
  <c r="L87" i="6"/>
  <c r="M87" i="6"/>
  <c r="N87" i="6"/>
  <c r="O87" i="6"/>
  <c r="J87" i="6"/>
  <c r="E349" i="4"/>
  <c r="F349" i="4"/>
  <c r="G349" i="4"/>
  <c r="H349" i="4"/>
  <c r="K86" i="6"/>
  <c r="I86" i="6"/>
  <c r="L86" i="6"/>
  <c r="M86" i="6"/>
  <c r="N86" i="6"/>
  <c r="O86" i="6"/>
  <c r="J86" i="6"/>
  <c r="J85" i="6"/>
  <c r="K85" i="6"/>
  <c r="L85" i="6"/>
  <c r="M85" i="6"/>
  <c r="N85" i="6"/>
  <c r="O85" i="6"/>
  <c r="K84" i="6"/>
  <c r="L84" i="6"/>
  <c r="M84" i="6"/>
  <c r="N84" i="6"/>
  <c r="O84" i="6"/>
  <c r="J84" i="6"/>
  <c r="I84" i="6"/>
  <c r="I85" i="6"/>
  <c r="E348" i="4"/>
  <c r="F348" i="4"/>
  <c r="G348" i="4"/>
  <c r="H348" i="4"/>
  <c r="F347" i="4"/>
  <c r="G347" i="4"/>
  <c r="H347" i="4"/>
  <c r="G346" i="4"/>
  <c r="H346" i="4"/>
  <c r="F346" i="4"/>
  <c r="E346" i="4"/>
  <c r="E347" i="4"/>
  <c r="K83" i="6"/>
  <c r="L83" i="6"/>
  <c r="M83" i="6"/>
  <c r="N83" i="6"/>
  <c r="O83" i="6"/>
  <c r="J83" i="6"/>
  <c r="I83" i="6"/>
  <c r="G345" i="4"/>
  <c r="H345" i="4"/>
  <c r="F345" i="4"/>
  <c r="E345" i="4"/>
  <c r="K79" i="6"/>
  <c r="I79" i="6"/>
  <c r="L79" i="6"/>
  <c r="M79" i="6"/>
  <c r="N79" i="6"/>
  <c r="J79" i="6"/>
  <c r="F340" i="4"/>
  <c r="G340" i="4"/>
  <c r="H340" i="4"/>
  <c r="E340" i="4"/>
  <c r="F339" i="4"/>
  <c r="G339" i="4"/>
  <c r="H339" i="4"/>
  <c r="E339" i="4"/>
  <c r="J78" i="6"/>
  <c r="K78" i="6"/>
  <c r="L78" i="6"/>
  <c r="M78" i="6"/>
  <c r="N78" i="6"/>
  <c r="I78" i="6"/>
  <c r="J77" i="6"/>
  <c r="K77" i="6"/>
  <c r="L77" i="6"/>
  <c r="M77" i="6"/>
  <c r="N77" i="6"/>
  <c r="I77" i="6"/>
  <c r="F338" i="4"/>
  <c r="G338" i="4"/>
  <c r="H338" i="4"/>
  <c r="E338" i="4"/>
  <c r="I76" i="6"/>
  <c r="K76" i="6"/>
  <c r="M76" i="6"/>
  <c r="N76" i="6"/>
  <c r="F337" i="4"/>
  <c r="G337" i="4"/>
  <c r="H337" i="4"/>
  <c r="E337" i="4"/>
  <c r="F335" i="4"/>
  <c r="G335" i="4"/>
  <c r="H335" i="4"/>
  <c r="F336" i="4"/>
  <c r="G336" i="4"/>
  <c r="H336" i="4"/>
  <c r="E335" i="4"/>
  <c r="E336" i="4"/>
  <c r="J76" i="6"/>
  <c r="L76" i="6"/>
  <c r="I74" i="6"/>
  <c r="J74" i="6"/>
  <c r="K74" i="6"/>
  <c r="L74" i="6"/>
  <c r="M74" i="6"/>
  <c r="N74" i="6"/>
  <c r="I75" i="6"/>
  <c r="J75" i="6"/>
  <c r="K75" i="6"/>
  <c r="L75" i="6"/>
  <c r="M75" i="6"/>
  <c r="N75" i="6"/>
  <c r="J73" i="6"/>
  <c r="K73" i="6"/>
  <c r="L73" i="6"/>
  <c r="M73" i="6"/>
  <c r="N73" i="6"/>
  <c r="I73" i="6"/>
  <c r="F334" i="4"/>
  <c r="G334" i="4"/>
  <c r="H334" i="4"/>
  <c r="E334" i="4"/>
  <c r="J72" i="6"/>
  <c r="K72" i="6"/>
  <c r="L72" i="6"/>
  <c r="M72" i="6"/>
  <c r="N72" i="6"/>
  <c r="I72" i="6"/>
  <c r="F333" i="4"/>
  <c r="G333" i="4"/>
  <c r="H333" i="4"/>
  <c r="E333" i="4"/>
  <c r="J71" i="6"/>
  <c r="K71" i="6"/>
  <c r="L71" i="6"/>
  <c r="M71" i="6"/>
  <c r="N71" i="6"/>
  <c r="I71" i="6"/>
  <c r="F332" i="4"/>
  <c r="G332" i="4"/>
  <c r="H332" i="4"/>
  <c r="E332" i="4"/>
  <c r="J70" i="6"/>
  <c r="K70" i="6"/>
  <c r="L70" i="6"/>
  <c r="M70" i="6"/>
  <c r="N70" i="6"/>
  <c r="I70" i="6"/>
  <c r="F331" i="4"/>
  <c r="G331" i="4"/>
  <c r="H331" i="4"/>
  <c r="E331" i="4"/>
  <c r="M69" i="6"/>
  <c r="N69" i="6"/>
  <c r="K69" i="6"/>
  <c r="I69" i="6"/>
  <c r="F330" i="4"/>
  <c r="G330" i="4"/>
  <c r="H330" i="4"/>
  <c r="E330" i="4"/>
  <c r="E328" i="4"/>
  <c r="F328" i="4"/>
  <c r="G328" i="4"/>
  <c r="H328" i="4"/>
  <c r="E329" i="4"/>
  <c r="F329" i="4"/>
  <c r="G329" i="4"/>
  <c r="H329" i="4"/>
  <c r="L69" i="6"/>
  <c r="J69" i="6"/>
  <c r="I67" i="6"/>
  <c r="J67" i="6"/>
  <c r="K67" i="6"/>
  <c r="L67" i="6"/>
  <c r="M67" i="6"/>
  <c r="N67" i="6"/>
  <c r="I68" i="6"/>
  <c r="J68" i="6"/>
  <c r="K68" i="6"/>
  <c r="L68" i="6"/>
  <c r="M68" i="6"/>
  <c r="N68" i="6"/>
  <c r="K66" i="6"/>
  <c r="I66" i="6"/>
  <c r="F327" i="4"/>
  <c r="G327" i="4"/>
  <c r="H327" i="4"/>
  <c r="E327" i="4"/>
  <c r="L66" i="6"/>
  <c r="M66" i="6"/>
  <c r="N66" i="6"/>
  <c r="J66" i="6"/>
  <c r="I65" i="6"/>
  <c r="K65" i="6"/>
  <c r="L65" i="6"/>
  <c r="M65" i="6"/>
  <c r="N65" i="6"/>
  <c r="J65" i="6"/>
  <c r="E326" i="4"/>
  <c r="F326" i="4"/>
  <c r="G326" i="4"/>
  <c r="H326" i="4"/>
  <c r="K64" i="6"/>
  <c r="I64" i="6"/>
  <c r="L64" i="6"/>
  <c r="M64" i="6"/>
  <c r="N64" i="6"/>
  <c r="J64" i="6"/>
  <c r="I63" i="6"/>
  <c r="J63" i="6"/>
  <c r="K63" i="6"/>
  <c r="L63" i="6"/>
  <c r="M63" i="6"/>
  <c r="N63" i="6"/>
  <c r="F325" i="4"/>
  <c r="G325" i="4"/>
  <c r="H325" i="4"/>
  <c r="E325" i="4"/>
  <c r="F324" i="4"/>
  <c r="G324" i="4"/>
  <c r="H324" i="4"/>
  <c r="E324" i="4"/>
  <c r="K62" i="6"/>
  <c r="I62" i="6"/>
  <c r="M62" i="6"/>
  <c r="N62" i="6"/>
  <c r="L62" i="6"/>
  <c r="J62" i="6"/>
  <c r="E323" i="4"/>
  <c r="F323" i="4"/>
  <c r="G323" i="4"/>
  <c r="H323" i="4"/>
  <c r="I60" i="6"/>
  <c r="J60" i="6"/>
  <c r="K60" i="6"/>
  <c r="L60" i="6"/>
  <c r="M60" i="6"/>
  <c r="N60" i="6"/>
  <c r="I61" i="6"/>
  <c r="J61" i="6"/>
  <c r="K61" i="6"/>
  <c r="L61" i="6"/>
  <c r="M61" i="6"/>
  <c r="N61" i="6"/>
  <c r="K59" i="6"/>
  <c r="I59" i="6"/>
  <c r="L59" i="6"/>
  <c r="M59" i="6"/>
  <c r="N59" i="6"/>
  <c r="J59" i="6"/>
  <c r="E321" i="4"/>
  <c r="F321" i="4"/>
  <c r="G321" i="4"/>
  <c r="H321" i="4"/>
  <c r="E322" i="4"/>
  <c r="F322" i="4"/>
  <c r="G322" i="4"/>
  <c r="H322" i="4"/>
  <c r="F320" i="4"/>
  <c r="G320" i="4"/>
  <c r="H320" i="4"/>
  <c r="E320" i="4"/>
  <c r="K58" i="6"/>
  <c r="I58" i="6"/>
  <c r="L58" i="6"/>
  <c r="M58" i="6"/>
  <c r="N58" i="6"/>
  <c r="J58" i="6"/>
  <c r="F319" i="4"/>
  <c r="G319" i="4"/>
  <c r="H319" i="4"/>
  <c r="E319" i="4"/>
  <c r="K57" i="6"/>
  <c r="I57" i="6"/>
  <c r="J57" i="6"/>
  <c r="L57" i="6"/>
  <c r="M57" i="6"/>
  <c r="N57" i="6"/>
  <c r="F318" i="4"/>
  <c r="G318" i="4"/>
  <c r="H318" i="4"/>
  <c r="E318" i="4"/>
  <c r="K56" i="6"/>
  <c r="I56" i="6"/>
  <c r="L56" i="6"/>
  <c r="M56" i="6"/>
  <c r="N56" i="6"/>
  <c r="J56" i="6"/>
  <c r="F317" i="4"/>
  <c r="G317" i="4"/>
  <c r="H317" i="4"/>
  <c r="E317" i="4"/>
  <c r="K55" i="6"/>
  <c r="L55" i="6"/>
  <c r="M55" i="6"/>
  <c r="N55" i="6"/>
  <c r="I55" i="6"/>
  <c r="J55" i="6"/>
  <c r="E316" i="4"/>
  <c r="F316" i="4"/>
  <c r="G316" i="4"/>
  <c r="H316" i="4"/>
  <c r="F314" i="4"/>
  <c r="G314" i="4"/>
  <c r="H314" i="4"/>
  <c r="F315" i="4"/>
  <c r="G315" i="4"/>
  <c r="H315" i="4"/>
  <c r="E315" i="4"/>
  <c r="E314" i="4"/>
  <c r="J53" i="6"/>
  <c r="K53" i="6"/>
  <c r="L53" i="6"/>
  <c r="M53" i="6"/>
  <c r="N53" i="6"/>
  <c r="J54" i="6"/>
  <c r="K54" i="6"/>
  <c r="L54" i="6"/>
  <c r="M54" i="6"/>
  <c r="N54" i="6"/>
  <c r="I53" i="6"/>
  <c r="I54" i="6"/>
  <c r="J52" i="6"/>
  <c r="K52" i="6"/>
  <c r="I52" i="6"/>
  <c r="L52" i="6"/>
  <c r="M52" i="6"/>
  <c r="N52" i="6"/>
  <c r="F313" i="4"/>
  <c r="G313" i="4"/>
  <c r="H313" i="4"/>
  <c r="E313" i="4"/>
  <c r="J51" i="6"/>
  <c r="K51" i="6"/>
  <c r="L51" i="6"/>
  <c r="M51" i="6"/>
  <c r="N51" i="6"/>
  <c r="I51" i="6"/>
  <c r="F312" i="4"/>
  <c r="G312" i="4"/>
  <c r="H312" i="4"/>
  <c r="E312" i="4"/>
  <c r="K50" i="6"/>
  <c r="I50" i="6"/>
  <c r="J50" i="6"/>
  <c r="L50" i="6"/>
  <c r="M50" i="6"/>
  <c r="N50" i="6"/>
  <c r="F311" i="4"/>
  <c r="G311" i="4"/>
  <c r="H311" i="4"/>
  <c r="E311" i="4"/>
  <c r="I49" i="6"/>
  <c r="K49" i="6"/>
  <c r="J49" i="6"/>
  <c r="L49" i="6"/>
  <c r="M49" i="6"/>
  <c r="N49" i="6"/>
  <c r="I48" i="6"/>
  <c r="I44" i="6"/>
  <c r="F310" i="4"/>
  <c r="G310" i="4"/>
  <c r="H310" i="4"/>
  <c r="E310" i="4"/>
  <c r="E309" i="4"/>
  <c r="G301" i="4"/>
  <c r="K44" i="6"/>
  <c r="M44" i="6"/>
  <c r="N44" i="6"/>
  <c r="J44" i="6"/>
  <c r="L44" i="6"/>
  <c r="J42" i="6"/>
  <c r="K42" i="6"/>
  <c r="L42" i="6"/>
  <c r="M42" i="6"/>
  <c r="N42" i="6"/>
  <c r="J43" i="6"/>
  <c r="K43" i="6"/>
  <c r="L43" i="6"/>
  <c r="M43" i="6"/>
  <c r="N43" i="6"/>
  <c r="I42" i="6"/>
  <c r="I43" i="6"/>
  <c r="F305" i="4"/>
  <c r="G305" i="4"/>
  <c r="H305" i="4"/>
  <c r="E305" i="4"/>
  <c r="E303" i="4"/>
  <c r="E304" i="4"/>
  <c r="F303" i="4"/>
  <c r="G303" i="4"/>
  <c r="H303" i="4"/>
  <c r="F304" i="4"/>
  <c r="G304" i="4"/>
  <c r="H304" i="4"/>
  <c r="J41" i="6"/>
  <c r="K41" i="6"/>
  <c r="I41" i="6"/>
  <c r="L41" i="6"/>
  <c r="M41" i="6"/>
  <c r="N41" i="6"/>
  <c r="E302" i="4"/>
  <c r="F302" i="4"/>
  <c r="G302" i="4"/>
  <c r="H302" i="4"/>
  <c r="K40" i="6"/>
  <c r="I40" i="6"/>
  <c r="J40" i="6"/>
  <c r="L40" i="6"/>
  <c r="M40" i="6"/>
  <c r="N40" i="6"/>
  <c r="F301" i="4"/>
  <c r="H301" i="4"/>
  <c r="E301" i="4"/>
  <c r="F281" i="4"/>
  <c r="G281" i="4"/>
  <c r="H281" i="4"/>
  <c r="F282" i="4"/>
  <c r="G282" i="4"/>
  <c r="H282" i="4"/>
  <c r="K39" i="6"/>
  <c r="I39" i="6"/>
  <c r="L39" i="6"/>
  <c r="M39" i="6"/>
  <c r="N39" i="6"/>
  <c r="J39" i="6"/>
  <c r="F300" i="4"/>
  <c r="G300" i="4"/>
  <c r="H300" i="4"/>
  <c r="E300" i="4"/>
  <c r="K38" i="6"/>
  <c r="I38" i="6"/>
  <c r="J38" i="6"/>
  <c r="L38" i="6"/>
  <c r="M38" i="6"/>
  <c r="N38" i="6"/>
  <c r="F299" i="4"/>
  <c r="G299" i="4"/>
  <c r="H299" i="4"/>
  <c r="E299" i="4"/>
  <c r="K37" i="6"/>
  <c r="I37" i="6"/>
  <c r="M37" i="6"/>
  <c r="N37" i="6"/>
  <c r="L37" i="6"/>
  <c r="J37" i="6"/>
  <c r="F298" i="4"/>
  <c r="G298" i="4"/>
  <c r="H298" i="4"/>
  <c r="E298" i="4"/>
  <c r="H297" i="4"/>
  <c r="G297" i="4"/>
  <c r="F297" i="4"/>
  <c r="H296" i="4"/>
  <c r="G296" i="4"/>
  <c r="F296" i="4"/>
  <c r="F295" i="4"/>
  <c r="E297" i="4"/>
  <c r="E296" i="4"/>
  <c r="I35" i="6"/>
  <c r="J35" i="6"/>
  <c r="K35" i="6"/>
  <c r="L35" i="6"/>
  <c r="M35" i="6"/>
  <c r="N35" i="6"/>
  <c r="I36" i="6"/>
  <c r="J36" i="6"/>
  <c r="K36" i="6"/>
  <c r="L36" i="6"/>
  <c r="M36" i="6"/>
  <c r="N36" i="6"/>
  <c r="K34" i="6"/>
  <c r="I34" i="6"/>
  <c r="M34" i="6"/>
  <c r="N34" i="6"/>
  <c r="F294" i="4"/>
  <c r="G294" i="4"/>
  <c r="H294" i="4"/>
  <c r="E294" i="4"/>
  <c r="J34" i="6"/>
  <c r="L34" i="6"/>
  <c r="J33" i="6"/>
  <c r="K33" i="6"/>
  <c r="L33" i="6"/>
  <c r="M33" i="6"/>
  <c r="N33" i="6"/>
  <c r="I33" i="6"/>
  <c r="G295" i="4"/>
  <c r="H295" i="4"/>
  <c r="E295" i="4"/>
  <c r="J32" i="6"/>
  <c r="I32" i="6"/>
  <c r="F293" i="4"/>
  <c r="G293" i="4"/>
  <c r="H293" i="4"/>
  <c r="E293" i="4"/>
  <c r="K32" i="6"/>
  <c r="L32" i="6"/>
  <c r="M32" i="6"/>
  <c r="N32" i="6"/>
  <c r="J31" i="6"/>
  <c r="K31" i="6"/>
  <c r="I31" i="6"/>
  <c r="L31" i="6"/>
  <c r="M31" i="6"/>
  <c r="N31" i="6"/>
  <c r="F292" i="4"/>
  <c r="G292" i="4"/>
  <c r="H292" i="4"/>
  <c r="E292" i="4"/>
  <c r="K30" i="6"/>
  <c r="I30" i="6"/>
  <c r="L30" i="6"/>
  <c r="M30" i="6"/>
  <c r="N30" i="6"/>
  <c r="J30" i="6"/>
  <c r="J27" i="6"/>
  <c r="K27" i="6"/>
  <c r="L27" i="6"/>
  <c r="M27" i="6"/>
  <c r="N27" i="6"/>
  <c r="J28" i="6"/>
  <c r="K28" i="6"/>
  <c r="L28" i="6"/>
  <c r="M28" i="6"/>
  <c r="N28" i="6"/>
  <c r="J29" i="6"/>
  <c r="K29" i="6"/>
  <c r="L29" i="6"/>
  <c r="M29" i="6"/>
  <c r="N29" i="6"/>
  <c r="I27" i="6"/>
  <c r="I28" i="6"/>
  <c r="I29" i="6"/>
  <c r="F288" i="4"/>
  <c r="G288" i="4"/>
  <c r="H288" i="4"/>
  <c r="F289" i="4"/>
  <c r="G289" i="4"/>
  <c r="H289" i="4"/>
  <c r="F290" i="4"/>
  <c r="G290" i="4"/>
  <c r="H290" i="4"/>
  <c r="F291" i="4"/>
  <c r="G291" i="4"/>
  <c r="H291" i="4"/>
  <c r="E288" i="4"/>
  <c r="E289" i="4"/>
  <c r="E290" i="4"/>
  <c r="E291" i="4"/>
  <c r="J26" i="6"/>
  <c r="K26" i="6"/>
  <c r="I26" i="6"/>
  <c r="L26" i="6"/>
  <c r="M26" i="6"/>
  <c r="N26" i="6"/>
  <c r="F287" i="4"/>
  <c r="G287" i="4"/>
  <c r="H287" i="4"/>
  <c r="E287" i="4"/>
  <c r="J25" i="6"/>
  <c r="K25" i="6"/>
  <c r="I25" i="6"/>
  <c r="L25" i="6"/>
  <c r="M25" i="6"/>
  <c r="N25" i="6"/>
  <c r="F286" i="4"/>
  <c r="G286" i="4"/>
  <c r="H286" i="4"/>
  <c r="E286" i="4"/>
  <c r="J24" i="6"/>
  <c r="K24" i="6"/>
  <c r="I24" i="6"/>
  <c r="L24" i="6"/>
  <c r="M24" i="6"/>
  <c r="N24" i="6"/>
  <c r="K23" i="6"/>
  <c r="I23" i="6"/>
  <c r="F285" i="4"/>
  <c r="G285" i="4"/>
  <c r="H285" i="4"/>
  <c r="E285" i="4"/>
  <c r="J23" i="6"/>
  <c r="L23" i="6"/>
  <c r="M23" i="6"/>
  <c r="N23" i="6"/>
  <c r="G284" i="4"/>
  <c r="H284" i="4"/>
  <c r="F284" i="4"/>
  <c r="E284" i="4"/>
  <c r="K22" i="6"/>
  <c r="I22" i="6"/>
  <c r="M22" i="6"/>
  <c r="N22" i="6"/>
  <c r="E281" i="4"/>
  <c r="E282" i="4"/>
  <c r="M20" i="6"/>
  <c r="N20" i="6"/>
  <c r="M21" i="6"/>
  <c r="N21" i="6"/>
  <c r="L20" i="6"/>
  <c r="L21" i="6"/>
  <c r="L22" i="6"/>
  <c r="K20" i="6"/>
  <c r="K21" i="6"/>
  <c r="J20" i="6"/>
  <c r="J21" i="6"/>
  <c r="J22" i="6"/>
  <c r="I20" i="6"/>
  <c r="I21" i="6"/>
  <c r="F283" i="4"/>
  <c r="G283" i="4"/>
  <c r="H283" i="4"/>
  <c r="E283" i="4"/>
  <c r="I19" i="6"/>
  <c r="J19" i="6"/>
  <c r="K19" i="6"/>
  <c r="L19" i="6"/>
  <c r="M19" i="6"/>
  <c r="N19" i="6"/>
  <c r="F280" i="4"/>
  <c r="G280" i="4"/>
  <c r="H280" i="4"/>
  <c r="E280" i="4"/>
  <c r="J18" i="6"/>
  <c r="K18" i="6"/>
  <c r="I18" i="6"/>
  <c r="L18" i="6"/>
  <c r="M18" i="6"/>
  <c r="N18" i="6"/>
  <c r="F279" i="4"/>
  <c r="G279" i="4"/>
  <c r="H279" i="4"/>
  <c r="E279" i="4"/>
  <c r="I17" i="6"/>
  <c r="J17" i="6"/>
  <c r="K17" i="6"/>
  <c r="L17" i="6"/>
  <c r="M17" i="6"/>
  <c r="N17" i="6"/>
  <c r="F278" i="4"/>
  <c r="G278" i="4"/>
  <c r="H278" i="4"/>
  <c r="E278" i="4"/>
  <c r="I16" i="6"/>
  <c r="K16" i="6"/>
  <c r="J16" i="6"/>
  <c r="N16" i="6"/>
  <c r="M16" i="6"/>
  <c r="L16" i="6"/>
  <c r="H277" i="4"/>
  <c r="G277" i="4"/>
  <c r="F277" i="4"/>
  <c r="E277" i="4"/>
  <c r="I8" i="6"/>
  <c r="I15" i="6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19" i="4"/>
  <c r="E18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3" i="4"/>
  <c r="E2" i="4"/>
  <c r="H273" i="4"/>
  <c r="G273" i="4"/>
  <c r="F273" i="4"/>
  <c r="M13" i="6"/>
  <c r="N13" i="6"/>
  <c r="L13" i="6"/>
  <c r="K13" i="6"/>
  <c r="J13" i="6"/>
  <c r="I12" i="6"/>
  <c r="I13" i="6"/>
  <c r="K12" i="6"/>
  <c r="J12" i="6"/>
  <c r="L12" i="6"/>
  <c r="M12" i="6"/>
  <c r="N12" i="6"/>
  <c r="F272" i="4"/>
  <c r="G272" i="4"/>
  <c r="H272" i="4"/>
  <c r="I11" i="6"/>
  <c r="K11" i="6"/>
  <c r="J11" i="6"/>
  <c r="L11" i="6"/>
  <c r="M11" i="6"/>
  <c r="N11" i="6"/>
  <c r="F271" i="4"/>
  <c r="G271" i="4"/>
  <c r="H271" i="4"/>
  <c r="I10" i="6"/>
  <c r="K10" i="6"/>
  <c r="J10" i="6"/>
  <c r="L10" i="6"/>
  <c r="M10" i="6"/>
  <c r="N10" i="6"/>
  <c r="F270" i="4"/>
  <c r="G270" i="4"/>
  <c r="H270" i="4"/>
  <c r="I2" i="6"/>
  <c r="J9" i="6"/>
  <c r="K9" i="6"/>
  <c r="I9" i="6"/>
  <c r="L9" i="6"/>
  <c r="M9" i="6"/>
  <c r="N9" i="6"/>
  <c r="F269" i="4"/>
  <c r="G269" i="4"/>
  <c r="H269" i="4"/>
  <c r="H268" i="4"/>
  <c r="G268" i="4"/>
  <c r="F268" i="4"/>
  <c r="H267" i="4"/>
  <c r="G267" i="4"/>
  <c r="F267" i="4"/>
  <c r="K8" i="6"/>
  <c r="J8" i="6"/>
  <c r="L8" i="6"/>
  <c r="M8" i="6"/>
  <c r="N8" i="6"/>
  <c r="I7" i="6"/>
  <c r="M7" i="6"/>
  <c r="N7" i="6"/>
  <c r="L7" i="6"/>
  <c r="J7" i="6"/>
  <c r="G266" i="4"/>
  <c r="H266" i="4"/>
  <c r="F266" i="4"/>
  <c r="J6" i="6"/>
  <c r="K6" i="6"/>
  <c r="L6" i="6"/>
  <c r="M6" i="6"/>
  <c r="N6" i="6"/>
  <c r="I6" i="6"/>
  <c r="F264" i="4"/>
  <c r="G264" i="4"/>
  <c r="H264" i="4"/>
  <c r="J5" i="6"/>
  <c r="K5" i="6"/>
  <c r="L5" i="6"/>
  <c r="M5" i="6"/>
  <c r="N5" i="6"/>
  <c r="I5" i="6"/>
  <c r="F263" i="4"/>
  <c r="G263" i="4"/>
  <c r="H263" i="4"/>
  <c r="J4" i="6"/>
  <c r="K4" i="6"/>
  <c r="L4" i="6"/>
  <c r="M4" i="6"/>
  <c r="N4" i="6"/>
  <c r="I4" i="6"/>
  <c r="G262" i="4"/>
  <c r="H262" i="4"/>
  <c r="F262" i="4"/>
  <c r="J3" i="6"/>
  <c r="K3" i="6"/>
  <c r="L3" i="6"/>
  <c r="I3" i="6"/>
  <c r="M3" i="6"/>
  <c r="N3" i="6"/>
  <c r="G261" i="4"/>
  <c r="H261" i="4"/>
  <c r="F261" i="4"/>
  <c r="F259" i="4"/>
  <c r="G259" i="4"/>
  <c r="H259" i="4"/>
  <c r="G258" i="4"/>
  <c r="H258" i="4"/>
  <c r="F258" i="4"/>
  <c r="G257" i="4"/>
  <c r="H257" i="4"/>
  <c r="F257" i="4"/>
  <c r="F255" i="4"/>
  <c r="G255" i="4"/>
  <c r="H255" i="4"/>
  <c r="F254" i="4"/>
  <c r="G254" i="4"/>
  <c r="H254" i="4"/>
  <c r="G253" i="4"/>
  <c r="H253" i="4"/>
  <c r="F253" i="4"/>
  <c r="H252" i="4"/>
  <c r="G252" i="4"/>
  <c r="F252" i="4"/>
  <c r="F250" i="4"/>
  <c r="G250" i="4"/>
  <c r="H250" i="4"/>
  <c r="G249" i="4"/>
  <c r="H249" i="4"/>
  <c r="F249" i="4"/>
  <c r="H248" i="4"/>
  <c r="G248" i="4"/>
  <c r="F248" i="4"/>
  <c r="G245" i="4"/>
  <c r="H245" i="4"/>
  <c r="F245" i="4"/>
  <c r="F242" i="4"/>
  <c r="G242" i="4"/>
  <c r="H242" i="4"/>
  <c r="F241" i="4"/>
  <c r="G241" i="4"/>
  <c r="H241" i="4"/>
  <c r="F240" i="4"/>
  <c r="G240" i="4"/>
  <c r="H240" i="4"/>
  <c r="F238" i="4"/>
  <c r="G238" i="4"/>
  <c r="H238" i="4"/>
  <c r="F239" i="4"/>
  <c r="G239" i="4"/>
  <c r="H239" i="4"/>
  <c r="F237" i="4"/>
  <c r="G237" i="4"/>
  <c r="H237" i="4"/>
  <c r="G236" i="4"/>
  <c r="H236" i="4"/>
  <c r="F236" i="4"/>
  <c r="G235" i="4"/>
  <c r="H235" i="4"/>
  <c r="F235" i="4"/>
  <c r="F233" i="4"/>
  <c r="G233" i="4"/>
  <c r="H233" i="4"/>
  <c r="F232" i="4"/>
  <c r="G232" i="4"/>
  <c r="H232" i="4"/>
  <c r="F230" i="4"/>
  <c r="G230" i="4"/>
  <c r="H230" i="4"/>
  <c r="F231" i="4"/>
  <c r="G231" i="4"/>
  <c r="H231" i="4"/>
  <c r="F229" i="4"/>
  <c r="G229" i="4"/>
  <c r="H229" i="4"/>
  <c r="H228" i="4"/>
  <c r="G228" i="4"/>
  <c r="F228" i="4"/>
  <c r="F227" i="4"/>
  <c r="G227" i="4"/>
  <c r="H227" i="4"/>
  <c r="H226" i="4"/>
  <c r="G226" i="4"/>
  <c r="F226" i="4"/>
  <c r="F225" i="4"/>
  <c r="G225" i="4"/>
  <c r="H225" i="4"/>
  <c r="F222" i="4"/>
  <c r="G222" i="4"/>
  <c r="H222" i="4"/>
  <c r="F223" i="4"/>
  <c r="G223" i="4"/>
  <c r="H223" i="4"/>
  <c r="F224" i="4"/>
  <c r="G224" i="4"/>
  <c r="H224" i="4"/>
  <c r="F221" i="4"/>
  <c r="G221" i="4"/>
  <c r="H221" i="4"/>
  <c r="F220" i="4"/>
  <c r="G220" i="4"/>
  <c r="H220" i="4"/>
  <c r="F219" i="4"/>
  <c r="G219" i="4"/>
  <c r="H219" i="4"/>
  <c r="H218" i="4"/>
  <c r="G218" i="4"/>
  <c r="F218" i="4"/>
  <c r="F216" i="4"/>
  <c r="G216" i="4"/>
  <c r="H216" i="4"/>
  <c r="F217" i="4"/>
  <c r="G217" i="4"/>
  <c r="H217" i="4"/>
  <c r="F215" i="4"/>
  <c r="G215" i="4"/>
  <c r="H215" i="4"/>
  <c r="F214" i="4"/>
  <c r="G214" i="4"/>
  <c r="H214" i="4"/>
  <c r="F213" i="4"/>
  <c r="G213" i="4"/>
  <c r="H213" i="4"/>
  <c r="F212" i="4"/>
  <c r="G212" i="4"/>
  <c r="H212" i="4"/>
  <c r="F211" i="4"/>
  <c r="G211" i="4"/>
  <c r="H211" i="4"/>
  <c r="F209" i="4"/>
  <c r="G209" i="4"/>
  <c r="H209" i="4"/>
  <c r="F210" i="4"/>
  <c r="G210" i="4"/>
  <c r="H210" i="4"/>
  <c r="F208" i="4"/>
  <c r="G208" i="4"/>
  <c r="H208" i="4"/>
  <c r="F206" i="4"/>
  <c r="G206" i="4"/>
  <c r="H206" i="4"/>
  <c r="F204" i="4"/>
  <c r="G204" i="4"/>
  <c r="H204" i="4"/>
  <c r="G203" i="4"/>
  <c r="H203" i="4"/>
  <c r="F203" i="4"/>
  <c r="G201" i="4"/>
  <c r="H201" i="4"/>
  <c r="F201" i="4"/>
  <c r="F199" i="4"/>
  <c r="F198" i="4"/>
  <c r="G198" i="4"/>
  <c r="H198" i="4"/>
  <c r="G199" i="4"/>
  <c r="H199" i="4"/>
  <c r="F197" i="4"/>
  <c r="G197" i="4"/>
  <c r="H197" i="4"/>
  <c r="F196" i="4"/>
  <c r="G196" i="4"/>
  <c r="H196" i="4"/>
  <c r="F195" i="4"/>
  <c r="G195" i="4"/>
  <c r="H195" i="4"/>
  <c r="F193" i="4"/>
  <c r="G193" i="4"/>
  <c r="H193" i="4"/>
  <c r="F192" i="4"/>
  <c r="G192" i="4"/>
  <c r="H192" i="4"/>
  <c r="F190" i="4"/>
  <c r="G190" i="4"/>
  <c r="H190" i="4"/>
  <c r="F191" i="4"/>
  <c r="G191" i="4"/>
  <c r="H191" i="4"/>
  <c r="F189" i="4"/>
  <c r="G189" i="4"/>
  <c r="H189" i="4"/>
  <c r="F188" i="4"/>
  <c r="G188" i="4"/>
  <c r="H188" i="4"/>
  <c r="F187" i="4"/>
  <c r="G187" i="4"/>
  <c r="H187" i="4"/>
  <c r="F186" i="4"/>
  <c r="G186" i="4"/>
  <c r="H186" i="4"/>
  <c r="F185" i="4"/>
  <c r="G185" i="4"/>
  <c r="H185" i="4"/>
  <c r="F183" i="4"/>
  <c r="G183" i="4"/>
  <c r="H183" i="4"/>
  <c r="F184" i="4"/>
  <c r="G184" i="4"/>
  <c r="H184" i="4"/>
  <c r="F182" i="4"/>
  <c r="G182" i="4"/>
  <c r="H182" i="4"/>
  <c r="F181" i="4"/>
  <c r="G181" i="4"/>
  <c r="H181" i="4"/>
  <c r="F180" i="4"/>
  <c r="G180" i="4"/>
  <c r="H180" i="4"/>
  <c r="F179" i="4"/>
  <c r="G179" i="4"/>
  <c r="H179" i="4"/>
  <c r="F178" i="4"/>
  <c r="G178" i="4"/>
  <c r="H178" i="4"/>
  <c r="F176" i="4"/>
  <c r="G176" i="4"/>
  <c r="H176" i="4"/>
  <c r="F177" i="4"/>
  <c r="G177" i="4"/>
  <c r="H177" i="4"/>
  <c r="F175" i="4"/>
  <c r="G175" i="4"/>
  <c r="H175" i="4"/>
  <c r="F174" i="4"/>
  <c r="G174" i="4"/>
  <c r="H174" i="4"/>
  <c r="F172" i="4"/>
  <c r="G172" i="4"/>
  <c r="H172" i="4"/>
  <c r="F170" i="4"/>
  <c r="G170" i="4"/>
  <c r="H170" i="4"/>
  <c r="F169" i="4"/>
  <c r="G169" i="4"/>
  <c r="H169" i="4"/>
  <c r="F168" i="4"/>
  <c r="G168" i="4"/>
  <c r="H168" i="4"/>
  <c r="H167" i="4"/>
  <c r="G167" i="4"/>
  <c r="F167" i="4"/>
  <c r="H166" i="4"/>
  <c r="G166" i="4"/>
  <c r="F166" i="4"/>
  <c r="F164" i="4"/>
  <c r="G164" i="4"/>
  <c r="H164" i="4"/>
  <c r="H163" i="4"/>
  <c r="G163" i="4"/>
  <c r="F163" i="4"/>
  <c r="F162" i="4"/>
  <c r="G162" i="4"/>
  <c r="H162" i="4"/>
  <c r="F161" i="4"/>
  <c r="G161" i="4"/>
  <c r="H161" i="4"/>
  <c r="F159" i="4"/>
  <c r="G159" i="4"/>
  <c r="H159" i="4"/>
  <c r="F160" i="4"/>
  <c r="G160" i="4"/>
  <c r="H160" i="4"/>
  <c r="F158" i="4"/>
  <c r="G158" i="4"/>
  <c r="H158" i="4"/>
  <c r="H157" i="4"/>
  <c r="G157" i="4"/>
  <c r="F157" i="4"/>
  <c r="F156" i="4"/>
  <c r="G156" i="4"/>
  <c r="H156" i="4"/>
  <c r="F155" i="4"/>
  <c r="G155" i="4"/>
  <c r="H155" i="4"/>
  <c r="F154" i="4"/>
  <c r="G154" i="4"/>
  <c r="H154" i="4"/>
  <c r="F152" i="4"/>
  <c r="G152" i="4"/>
  <c r="H152" i="4"/>
  <c r="F153" i="4"/>
  <c r="G153" i="4"/>
  <c r="H153" i="4"/>
  <c r="F151" i="4"/>
  <c r="G151" i="4"/>
  <c r="H151" i="4"/>
  <c r="F150" i="4"/>
  <c r="G150" i="4"/>
  <c r="H150" i="4"/>
  <c r="F149" i="4"/>
  <c r="G149" i="4"/>
  <c r="H149" i="4"/>
  <c r="F148" i="4"/>
  <c r="G148" i="4"/>
  <c r="H148" i="4"/>
  <c r="F147" i="4"/>
  <c r="G147" i="4"/>
  <c r="H147" i="4"/>
  <c r="F145" i="4"/>
  <c r="G145" i="4"/>
  <c r="H145" i="4"/>
  <c r="F146" i="4"/>
  <c r="G146" i="4"/>
  <c r="H146" i="4"/>
  <c r="F144" i="4"/>
  <c r="G144" i="4"/>
  <c r="H144" i="4"/>
  <c r="F143" i="4"/>
  <c r="G143" i="4"/>
  <c r="H143" i="4"/>
  <c r="F141" i="4"/>
  <c r="G141" i="4"/>
  <c r="H141" i="4"/>
  <c r="F140" i="4"/>
  <c r="G140" i="4"/>
  <c r="H140" i="4"/>
  <c r="F139" i="4"/>
  <c r="G139" i="4"/>
  <c r="H139" i="4"/>
  <c r="F137" i="4"/>
  <c r="G137" i="4"/>
  <c r="H137" i="4"/>
  <c r="F138" i="4"/>
  <c r="G138" i="4"/>
  <c r="H138" i="4"/>
  <c r="H136" i="4"/>
  <c r="G136" i="4"/>
  <c r="F136" i="4"/>
  <c r="F133" i="4"/>
  <c r="G133" i="4"/>
  <c r="H133" i="4"/>
  <c r="F132" i="4"/>
  <c r="G132" i="4"/>
  <c r="H132" i="4"/>
  <c r="F130" i="4"/>
  <c r="G130" i="4"/>
  <c r="H130" i="4"/>
  <c r="F131" i="4"/>
  <c r="G131" i="4"/>
  <c r="H131" i="4"/>
  <c r="F128" i="4"/>
  <c r="G128" i="4"/>
  <c r="H128" i="4"/>
  <c r="F129" i="4"/>
  <c r="G129" i="4"/>
  <c r="H129" i="4"/>
  <c r="F127" i="4"/>
  <c r="G127" i="4"/>
  <c r="H127" i="4"/>
  <c r="F126" i="4"/>
  <c r="G126" i="4"/>
  <c r="H126" i="4"/>
  <c r="F125" i="4"/>
  <c r="G125" i="4"/>
  <c r="H125" i="4"/>
  <c r="F124" i="4"/>
  <c r="G124" i="4"/>
  <c r="H124" i="4"/>
  <c r="H123" i="4"/>
  <c r="G123" i="4"/>
  <c r="F123" i="4"/>
  <c r="F121" i="4"/>
  <c r="G121" i="4"/>
  <c r="H121" i="4"/>
  <c r="F122" i="4"/>
  <c r="G122" i="4"/>
  <c r="H122" i="4"/>
  <c r="F120" i="4"/>
  <c r="G120" i="4"/>
  <c r="H120" i="4"/>
  <c r="F119" i="4"/>
  <c r="G119" i="4"/>
  <c r="H119" i="4"/>
  <c r="F118" i="4"/>
  <c r="G118" i="4"/>
  <c r="H118" i="4"/>
  <c r="F117" i="4"/>
  <c r="G117" i="4"/>
  <c r="H117" i="4"/>
  <c r="F116" i="4"/>
  <c r="G116" i="4"/>
  <c r="H116" i="4"/>
  <c r="F114" i="4"/>
  <c r="G114" i="4"/>
  <c r="H114" i="4"/>
  <c r="F115" i="4"/>
  <c r="G115" i="4"/>
  <c r="H115" i="4"/>
  <c r="F113" i="4"/>
  <c r="G113" i="4"/>
  <c r="H113" i="4"/>
  <c r="F112" i="4"/>
  <c r="G112" i="4"/>
  <c r="H112" i="4"/>
  <c r="F111" i="4"/>
  <c r="G111" i="4"/>
  <c r="H111" i="4"/>
  <c r="F104" i="4"/>
  <c r="G104" i="4"/>
  <c r="H104" i="4"/>
  <c r="F105" i="4"/>
  <c r="G105" i="4"/>
  <c r="H105" i="4"/>
  <c r="F110" i="4"/>
  <c r="G110" i="4"/>
  <c r="H110" i="4"/>
  <c r="F108" i="4"/>
  <c r="G108" i="4"/>
  <c r="H108" i="4"/>
  <c r="F107" i="4"/>
  <c r="G107" i="4"/>
  <c r="H107" i="4"/>
  <c r="F103" i="4"/>
  <c r="G103" i="4"/>
  <c r="H103" i="4"/>
  <c r="H102" i="4"/>
  <c r="G102" i="4"/>
  <c r="F102" i="4"/>
  <c r="H101" i="4"/>
  <c r="G101" i="4"/>
  <c r="F101" i="4"/>
  <c r="F99" i="4"/>
  <c r="G99" i="4"/>
  <c r="H99" i="4"/>
  <c r="F97" i="4"/>
  <c r="G97" i="4"/>
  <c r="H97" i="4"/>
  <c r="F98" i="4"/>
  <c r="G98" i="4"/>
  <c r="H98" i="4"/>
  <c r="F96" i="4"/>
  <c r="G96" i="4"/>
  <c r="H96" i="4"/>
  <c r="F95" i="4"/>
  <c r="G95" i="4"/>
  <c r="H95" i="4"/>
  <c r="F94" i="4"/>
  <c r="G94" i="4"/>
  <c r="H94" i="4"/>
  <c r="F93" i="4"/>
  <c r="G93" i="4"/>
  <c r="H93" i="4"/>
  <c r="F92" i="4"/>
  <c r="G92" i="4"/>
  <c r="H92" i="4"/>
  <c r="F90" i="4"/>
  <c r="G90" i="4"/>
  <c r="H90" i="4"/>
  <c r="F91" i="4"/>
  <c r="G91" i="4"/>
  <c r="H91" i="4"/>
  <c r="F89" i="4"/>
  <c r="G89" i="4"/>
  <c r="H89" i="4"/>
  <c r="F88" i="4"/>
  <c r="G88" i="4"/>
  <c r="H88" i="4"/>
  <c r="F87" i="4"/>
  <c r="G87" i="4"/>
  <c r="H87" i="4"/>
  <c r="F86" i="4"/>
  <c r="G86" i="4"/>
  <c r="H86" i="4"/>
  <c r="G68" i="4"/>
  <c r="F68" i="4"/>
  <c r="H85" i="4"/>
  <c r="G85" i="4"/>
  <c r="F85" i="4"/>
  <c r="H84" i="4"/>
  <c r="G84" i="4"/>
  <c r="F84" i="4"/>
  <c r="H83" i="4"/>
  <c r="G83" i="4"/>
  <c r="F83" i="4"/>
  <c r="H82" i="4"/>
  <c r="G82" i="4"/>
  <c r="F82" i="4"/>
  <c r="H81" i="4"/>
  <c r="G81" i="4"/>
  <c r="F81" i="4"/>
  <c r="H80" i="4"/>
  <c r="G80" i="4"/>
  <c r="F80" i="4"/>
  <c r="H79" i="4"/>
  <c r="G79" i="4"/>
  <c r="F79" i="4"/>
  <c r="H78" i="4"/>
  <c r="G78" i="4"/>
  <c r="F78" i="4"/>
  <c r="H77" i="4"/>
  <c r="G77" i="4"/>
  <c r="F77" i="4"/>
  <c r="H76" i="4"/>
  <c r="G76" i="4"/>
  <c r="F76" i="4"/>
  <c r="H75" i="4"/>
  <c r="G75" i="4"/>
  <c r="F75" i="4"/>
  <c r="H74" i="4"/>
  <c r="G74" i="4"/>
  <c r="F74" i="4"/>
  <c r="H73" i="4"/>
  <c r="G73" i="4"/>
  <c r="F73" i="4"/>
  <c r="H72" i="4"/>
  <c r="G72" i="4"/>
  <c r="F72" i="4"/>
  <c r="H70" i="4"/>
  <c r="G70" i="4"/>
  <c r="F70" i="4"/>
  <c r="G69" i="4"/>
  <c r="F69" i="4"/>
  <c r="G53" i="4"/>
  <c r="F53" i="4"/>
  <c r="F52" i="4"/>
  <c r="G34" i="4"/>
  <c r="F34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J447" i="4" l="1"/>
  <c r="F475" i="4"/>
  <c r="Q213" i="6"/>
  <c r="H475" i="4"/>
  <c r="N213" i="6"/>
  <c r="M213" i="6"/>
  <c r="L213" i="6"/>
  <c r="Q187" i="6"/>
  <c r="Q177" i="6"/>
  <c r="O213" i="6"/>
  <c r="P213" i="6"/>
  <c r="I475" i="4"/>
  <c r="K213" i="6"/>
  <c r="J213" i="6"/>
  <c r="R185" i="6"/>
  <c r="I447" i="4"/>
  <c r="I427" i="4"/>
  <c r="I440" i="4"/>
  <c r="I380" i="4"/>
  <c r="I394" i="4"/>
  <c r="Q169" i="6"/>
  <c r="Q163" i="6"/>
  <c r="Q165" i="6"/>
  <c r="F410" i="4"/>
  <c r="F411" i="4" s="1"/>
  <c r="I397" i="4"/>
  <c r="I436" i="4"/>
  <c r="I442" i="4"/>
  <c r="I415" i="4"/>
  <c r="I426" i="4"/>
  <c r="I419" i="4"/>
  <c r="I428" i="4"/>
  <c r="I418" i="4"/>
  <c r="I291" i="4"/>
  <c r="I338" i="4"/>
  <c r="I382" i="4"/>
  <c r="I434" i="4"/>
  <c r="I433" i="4"/>
  <c r="I432" i="4"/>
  <c r="I413" i="4"/>
  <c r="I414" i="4"/>
  <c r="I390" i="4"/>
  <c r="I421" i="4"/>
  <c r="I435" i="4"/>
  <c r="Q170" i="6"/>
  <c r="Q164" i="6"/>
  <c r="Q172" i="6"/>
  <c r="Q150" i="6"/>
  <c r="Q132" i="6"/>
  <c r="M181" i="6"/>
  <c r="M182" i="6" s="1"/>
  <c r="M183" i="6" s="1"/>
  <c r="N181" i="6"/>
  <c r="N182" i="6" s="1"/>
  <c r="N183" i="6" s="1"/>
  <c r="Q162" i="6"/>
  <c r="Q152" i="6"/>
  <c r="L181" i="6"/>
  <c r="L182" i="6" s="1"/>
  <c r="L183" i="6" s="1"/>
  <c r="K181" i="6"/>
  <c r="K182" i="6" s="1"/>
  <c r="K183" i="6" s="1"/>
  <c r="H444" i="4"/>
  <c r="O181" i="6"/>
  <c r="O182" i="6" s="1"/>
  <c r="O183" i="6" s="1"/>
  <c r="G444" i="4"/>
  <c r="Q157" i="6"/>
  <c r="Q159" i="6"/>
  <c r="J181" i="6"/>
  <c r="J182" i="6" s="1"/>
  <c r="J183" i="6" s="1"/>
  <c r="Q158" i="6"/>
  <c r="Q155" i="6"/>
  <c r="I425" i="4"/>
  <c r="F444" i="4"/>
  <c r="Q151" i="6"/>
  <c r="Q94" i="6"/>
  <c r="Q93" i="6"/>
  <c r="Q138" i="6"/>
  <c r="Q142" i="6"/>
  <c r="Q156" i="6"/>
  <c r="Q135" i="6"/>
  <c r="Q141" i="6"/>
  <c r="Q140" i="6"/>
  <c r="Q139" i="6"/>
  <c r="I409" i="4"/>
  <c r="I403" i="4"/>
  <c r="I404" i="4"/>
  <c r="I401" i="4"/>
  <c r="I402" i="4"/>
  <c r="I396" i="4"/>
  <c r="Q146" i="6"/>
  <c r="Q101" i="6"/>
  <c r="Q145" i="6"/>
  <c r="Q126" i="6"/>
  <c r="Q125" i="6"/>
  <c r="Q133" i="6"/>
  <c r="Q128" i="6"/>
  <c r="Q134" i="6"/>
  <c r="I381" i="4"/>
  <c r="I373" i="4"/>
  <c r="I371" i="4"/>
  <c r="I370" i="4"/>
  <c r="I391" i="4"/>
  <c r="I345" i="4"/>
  <c r="I405" i="4"/>
  <c r="I408" i="4"/>
  <c r="I364" i="4"/>
  <c r="I369" i="4"/>
  <c r="I366" i="4"/>
  <c r="I389" i="4"/>
  <c r="I362" i="4"/>
  <c r="I388" i="4"/>
  <c r="I384" i="4"/>
  <c r="I383" i="4"/>
  <c r="I395" i="4"/>
  <c r="I398" i="4"/>
  <c r="H410" i="4"/>
  <c r="H411" i="4" s="1"/>
  <c r="Q131" i="6"/>
  <c r="Q90" i="6"/>
  <c r="Q89" i="6"/>
  <c r="Q124" i="6"/>
  <c r="Q117" i="6"/>
  <c r="Q107" i="6"/>
  <c r="Q110" i="6"/>
  <c r="Q104" i="6"/>
  <c r="Q108" i="6"/>
  <c r="Q100" i="6"/>
  <c r="Q102" i="6"/>
  <c r="Q111" i="6"/>
  <c r="Q127" i="6"/>
  <c r="Q97" i="6"/>
  <c r="O147" i="6"/>
  <c r="O148" i="6" s="1"/>
  <c r="I387" i="4"/>
  <c r="Q95" i="6"/>
  <c r="Q103" i="6"/>
  <c r="Q109" i="6"/>
  <c r="Q118" i="6"/>
  <c r="Q120" i="6"/>
  <c r="Q96" i="6"/>
  <c r="L147" i="6"/>
  <c r="L148" i="6" s="1"/>
  <c r="Q121" i="6"/>
  <c r="K147" i="6"/>
  <c r="K148" i="6" s="1"/>
  <c r="J147" i="6"/>
  <c r="J148" i="6" s="1"/>
  <c r="N147" i="6"/>
  <c r="N148" i="6" s="1"/>
  <c r="G410" i="4"/>
  <c r="G411" i="4" s="1"/>
  <c r="M147" i="6"/>
  <c r="M148" i="6" s="1"/>
  <c r="Q119" i="6"/>
  <c r="I365" i="4"/>
  <c r="I310" i="4"/>
  <c r="I372" i="4"/>
  <c r="I363" i="4"/>
  <c r="I357" i="4"/>
  <c r="I302" i="4"/>
  <c r="I351" i="4"/>
  <c r="I352" i="4"/>
  <c r="I359" i="4"/>
  <c r="I356" i="4"/>
  <c r="I305" i="4"/>
  <c r="I330" i="4"/>
  <c r="I325" i="4"/>
  <c r="I323" i="4"/>
  <c r="I358" i="4"/>
  <c r="I349" i="4"/>
  <c r="I320" i="4"/>
  <c r="I332" i="4"/>
  <c r="I355" i="4"/>
  <c r="I318" i="4"/>
  <c r="I337" i="4"/>
  <c r="I339" i="4"/>
  <c r="I350" i="4"/>
  <c r="I348" i="4"/>
  <c r="J114" i="6"/>
  <c r="J115" i="6" s="1"/>
  <c r="G376" i="4"/>
  <c r="G377" i="4" s="1"/>
  <c r="Q86" i="6"/>
  <c r="Q71" i="6"/>
  <c r="Q59" i="6"/>
  <c r="Q87" i="6"/>
  <c r="Q88" i="6"/>
  <c r="F376" i="4"/>
  <c r="F377" i="4" s="1"/>
  <c r="O114" i="6"/>
  <c r="O115" i="6" s="1"/>
  <c r="L114" i="6"/>
  <c r="L115" i="6" s="1"/>
  <c r="Q69" i="6"/>
  <c r="N114" i="6"/>
  <c r="N115" i="6" s="1"/>
  <c r="M114" i="6"/>
  <c r="M115" i="6" s="1"/>
  <c r="K114" i="6"/>
  <c r="K115" i="6" s="1"/>
  <c r="Q83" i="6"/>
  <c r="H376" i="4"/>
  <c r="H377" i="4" s="1"/>
  <c r="Q77" i="6"/>
  <c r="Q70" i="6"/>
  <c r="Q76" i="6"/>
  <c r="Q73" i="6"/>
  <c r="Q55" i="6"/>
  <c r="Q65" i="6"/>
  <c r="Q78" i="6"/>
  <c r="Q79" i="6"/>
  <c r="Q72" i="6"/>
  <c r="Q51" i="6"/>
  <c r="Q66" i="6"/>
  <c r="Q58" i="6"/>
  <c r="Q49" i="6"/>
  <c r="Q52" i="6"/>
  <c r="Q57" i="6"/>
  <c r="Q56" i="6"/>
  <c r="I299" i="4"/>
  <c r="I273" i="4"/>
  <c r="I313" i="4"/>
  <c r="I287" i="4"/>
  <c r="I311" i="4"/>
  <c r="I319" i="4"/>
  <c r="I327" i="4"/>
  <c r="I324" i="4"/>
  <c r="I326" i="4"/>
  <c r="I340" i="4"/>
  <c r="I317" i="4"/>
  <c r="I333" i="4"/>
  <c r="I331" i="4"/>
  <c r="I272" i="4"/>
  <c r="I312" i="4"/>
  <c r="I285" i="4"/>
  <c r="I316" i="4"/>
  <c r="I250" i="4"/>
  <c r="I334" i="4"/>
  <c r="Q64" i="6"/>
  <c r="Q63" i="6"/>
  <c r="Q50" i="6"/>
  <c r="Q16" i="6"/>
  <c r="Q26" i="6"/>
  <c r="Q39" i="6"/>
  <c r="Q22" i="6"/>
  <c r="Q62" i="6"/>
  <c r="J80" i="6"/>
  <c r="J81" i="6" s="1"/>
  <c r="M80" i="6"/>
  <c r="M81" i="6" s="1"/>
  <c r="H341" i="4"/>
  <c r="H342" i="4" s="1"/>
  <c r="G341" i="4"/>
  <c r="G342" i="4" s="1"/>
  <c r="N80" i="6"/>
  <c r="N81" i="6" s="1"/>
  <c r="F341" i="4"/>
  <c r="F342" i="4" s="1"/>
  <c r="K80" i="6"/>
  <c r="K81" i="6" s="1"/>
  <c r="L80" i="6"/>
  <c r="L81" i="6" s="1"/>
  <c r="Q30" i="6"/>
  <c r="Q25" i="6"/>
  <c r="Q31" i="6"/>
  <c r="Q23" i="6"/>
  <c r="Q24" i="6"/>
  <c r="Q37" i="6"/>
  <c r="Q34" i="6"/>
  <c r="Q38" i="6"/>
  <c r="Q18" i="6"/>
  <c r="Q40" i="6"/>
  <c r="Q41" i="6"/>
  <c r="Q17" i="6"/>
  <c r="Q44" i="6"/>
  <c r="Q10" i="6"/>
  <c r="Q19" i="6"/>
  <c r="Q12" i="6"/>
  <c r="Q11" i="6"/>
  <c r="I286" i="4"/>
  <c r="I280" i="4"/>
  <c r="I284" i="4"/>
  <c r="I295" i="4"/>
  <c r="I277" i="4"/>
  <c r="I279" i="4"/>
  <c r="I300" i="4"/>
  <c r="I293" i="4"/>
  <c r="I298" i="4"/>
  <c r="I271" i="4"/>
  <c r="I292" i="4"/>
  <c r="I254" i="4"/>
  <c r="I283" i="4"/>
  <c r="I278" i="4"/>
  <c r="I267" i="4"/>
  <c r="G306" i="4"/>
  <c r="M45" i="6"/>
  <c r="M46" i="6" s="1"/>
  <c r="Q32" i="6"/>
  <c r="N45" i="6"/>
  <c r="N46" i="6" s="1"/>
  <c r="H306" i="4"/>
  <c r="H307" i="4" s="1"/>
  <c r="K45" i="6"/>
  <c r="K46" i="6" s="1"/>
  <c r="F306" i="4"/>
  <c r="F307" i="4" s="1"/>
  <c r="L45" i="6"/>
  <c r="L46" i="6" s="1"/>
  <c r="J45" i="6"/>
  <c r="J46" i="6" s="1"/>
  <c r="Q13" i="6"/>
  <c r="I259" i="4"/>
  <c r="I258" i="4"/>
  <c r="I261" i="4"/>
  <c r="I264" i="4"/>
  <c r="I263" i="4"/>
  <c r="I270" i="4"/>
  <c r="I266" i="4"/>
  <c r="Q9" i="6"/>
  <c r="K14" i="6"/>
  <c r="Q7" i="6"/>
  <c r="I268" i="4"/>
  <c r="I252" i="4"/>
  <c r="I255" i="4"/>
  <c r="I257" i="4"/>
  <c r="I262" i="4"/>
  <c r="I253" i="4"/>
  <c r="I269" i="4"/>
  <c r="I249" i="4"/>
  <c r="Q8" i="6"/>
  <c r="Q5" i="6"/>
  <c r="Q3" i="6"/>
  <c r="N14" i="6"/>
  <c r="M14" i="6"/>
  <c r="L14" i="6"/>
  <c r="J14" i="6"/>
  <c r="Q6" i="6"/>
  <c r="Q4" i="6"/>
  <c r="I248" i="4"/>
  <c r="I245" i="4"/>
  <c r="I217" i="4"/>
  <c r="I219" i="4"/>
  <c r="I240" i="4"/>
  <c r="I237" i="4"/>
  <c r="I241" i="4"/>
  <c r="I221" i="4"/>
  <c r="I224" i="4"/>
  <c r="I230" i="4"/>
  <c r="I236" i="4"/>
  <c r="I228" i="4"/>
  <c r="I242" i="4"/>
  <c r="I235" i="4"/>
  <c r="I209" i="4"/>
  <c r="I204" i="4"/>
  <c r="I227" i="4"/>
  <c r="I239" i="4"/>
  <c r="I220" i="4"/>
  <c r="I238" i="4"/>
  <c r="G274" i="4"/>
  <c r="F274" i="4"/>
  <c r="H274" i="4"/>
  <c r="I231" i="4"/>
  <c r="I225" i="4"/>
  <c r="I233" i="4"/>
  <c r="I232" i="4"/>
  <c r="I218" i="4"/>
  <c r="I229" i="4"/>
  <c r="I211" i="4"/>
  <c r="I223" i="4"/>
  <c r="I208" i="4"/>
  <c r="I215" i="4"/>
  <c r="I203" i="4"/>
  <c r="I226" i="4"/>
  <c r="I210" i="4"/>
  <c r="I216" i="4"/>
  <c r="I214" i="4"/>
  <c r="I177" i="4"/>
  <c r="I183" i="4"/>
  <c r="I222" i="4"/>
  <c r="I213" i="4"/>
  <c r="I212" i="4"/>
  <c r="I206" i="4"/>
  <c r="G234" i="4"/>
  <c r="F234" i="4"/>
  <c r="H234" i="4"/>
  <c r="I186" i="4"/>
  <c r="I184" i="4"/>
  <c r="I199" i="4"/>
  <c r="I201" i="4"/>
  <c r="I174" i="4"/>
  <c r="I189" i="4"/>
  <c r="I193" i="4"/>
  <c r="I179" i="4"/>
  <c r="I197" i="4"/>
  <c r="I190" i="4"/>
  <c r="I196" i="4"/>
  <c r="I180" i="4"/>
  <c r="I192" i="4"/>
  <c r="I181" i="4"/>
  <c r="I185" i="4"/>
  <c r="I198" i="4"/>
  <c r="I195" i="4"/>
  <c r="I163" i="4"/>
  <c r="I191" i="4"/>
  <c r="I187" i="4"/>
  <c r="I176" i="4"/>
  <c r="I166" i="4"/>
  <c r="I175" i="4"/>
  <c r="I178" i="4"/>
  <c r="I182" i="4"/>
  <c r="I188" i="4"/>
  <c r="I169" i="4"/>
  <c r="I149" i="4"/>
  <c r="I152" i="4"/>
  <c r="I145" i="4"/>
  <c r="I150" i="4"/>
  <c r="I154" i="4"/>
  <c r="I158" i="4"/>
  <c r="I162" i="4"/>
  <c r="I147" i="4"/>
  <c r="I68" i="4"/>
  <c r="I143" i="4"/>
  <c r="I151" i="4"/>
  <c r="I172" i="4"/>
  <c r="I133" i="4"/>
  <c r="I139" i="4"/>
  <c r="I168" i="4"/>
  <c r="I160" i="4"/>
  <c r="I153" i="4"/>
  <c r="I156" i="4"/>
  <c r="I164" i="4"/>
  <c r="I155" i="4"/>
  <c r="I161" i="4"/>
  <c r="I114" i="4"/>
  <c r="I141" i="4"/>
  <c r="I167" i="4"/>
  <c r="I159" i="4"/>
  <c r="I157" i="4"/>
  <c r="I144" i="4"/>
  <c r="I148" i="4"/>
  <c r="I140" i="4"/>
  <c r="I146" i="4"/>
  <c r="I170" i="4"/>
  <c r="H200" i="4"/>
  <c r="G200" i="4"/>
  <c r="F200" i="4"/>
  <c r="H165" i="4"/>
  <c r="G165" i="4"/>
  <c r="F165" i="4"/>
  <c r="I104" i="4"/>
  <c r="I111" i="4"/>
  <c r="I131" i="4"/>
  <c r="I136" i="4"/>
  <c r="I138" i="4"/>
  <c r="I137" i="4"/>
  <c r="I127" i="4"/>
  <c r="I119" i="4"/>
  <c r="I123" i="4"/>
  <c r="I112" i="4"/>
  <c r="I116" i="4"/>
  <c r="I124" i="4"/>
  <c r="I113" i="4"/>
  <c r="I125" i="4"/>
  <c r="I126" i="4"/>
  <c r="I120" i="4"/>
  <c r="I115" i="4"/>
  <c r="I117" i="4"/>
  <c r="I130" i="4"/>
  <c r="I122" i="4"/>
  <c r="I129" i="4"/>
  <c r="I132" i="4"/>
  <c r="I118" i="4"/>
  <c r="I121" i="4"/>
  <c r="I128" i="4"/>
  <c r="F134" i="4"/>
  <c r="H134" i="4"/>
  <c r="G134" i="4"/>
  <c r="I105" i="4"/>
  <c r="I107" i="4"/>
  <c r="I101" i="4"/>
  <c r="I110" i="4"/>
  <c r="I102" i="4"/>
  <c r="I108" i="4"/>
  <c r="I83" i="4"/>
  <c r="I97" i="4"/>
  <c r="I76" i="4"/>
  <c r="I103" i="4"/>
  <c r="I69" i="4"/>
  <c r="I82" i="4"/>
  <c r="I88" i="4"/>
  <c r="I92" i="4"/>
  <c r="I96" i="4"/>
  <c r="I93" i="4"/>
  <c r="I6" i="4"/>
  <c r="I12" i="4"/>
  <c r="I19" i="4"/>
  <c r="I25" i="4"/>
  <c r="I79" i="4"/>
  <c r="I89" i="4"/>
  <c r="H100" i="4"/>
  <c r="I91" i="4"/>
  <c r="I73" i="4"/>
  <c r="I95" i="4"/>
  <c r="I3" i="4"/>
  <c r="I9" i="4"/>
  <c r="I15" i="4"/>
  <c r="F67" i="4"/>
  <c r="I77" i="4"/>
  <c r="I81" i="4"/>
  <c r="I87" i="4"/>
  <c r="I90" i="4"/>
  <c r="I99" i="4"/>
  <c r="I86" i="4"/>
  <c r="G67" i="4"/>
  <c r="I74" i="4"/>
  <c r="I78" i="4"/>
  <c r="I70" i="4"/>
  <c r="I75" i="4"/>
  <c r="I72" i="4"/>
  <c r="I8" i="4"/>
  <c r="I27" i="4"/>
  <c r="I42" i="4"/>
  <c r="I80" i="4"/>
  <c r="I98" i="4"/>
  <c r="I94" i="4"/>
  <c r="G100" i="4"/>
  <c r="F100" i="4"/>
  <c r="G35" i="4"/>
  <c r="I7" i="4"/>
  <c r="I13" i="4"/>
  <c r="I20" i="4"/>
  <c r="I26" i="4"/>
  <c r="I84" i="4"/>
  <c r="I85" i="4"/>
  <c r="F35" i="4"/>
  <c r="I11" i="4"/>
  <c r="I17" i="4"/>
  <c r="I24" i="4"/>
  <c r="I30" i="4"/>
  <c r="I34" i="4"/>
  <c r="I62" i="4"/>
  <c r="I64" i="4"/>
  <c r="I41" i="4"/>
  <c r="I33" i="4"/>
  <c r="I46" i="4"/>
  <c r="I55" i="4"/>
  <c r="I51" i="4"/>
  <c r="I39" i="4"/>
  <c r="I28" i="4"/>
  <c r="I57" i="4"/>
  <c r="I44" i="4"/>
  <c r="I37" i="4"/>
  <c r="I49" i="4"/>
  <c r="I60" i="4"/>
  <c r="I53" i="4"/>
  <c r="I65" i="4"/>
  <c r="I47" i="4"/>
  <c r="I58" i="4"/>
  <c r="I40" i="4"/>
  <c r="I52" i="4"/>
  <c r="I63" i="4"/>
  <c r="I45" i="4"/>
  <c r="I56" i="4"/>
  <c r="I38" i="4"/>
  <c r="I50" i="4"/>
  <c r="I61" i="4"/>
  <c r="I43" i="4"/>
  <c r="I54" i="4"/>
  <c r="I66" i="4"/>
  <c r="I48" i="4"/>
  <c r="I59" i="4"/>
  <c r="I31" i="4"/>
  <c r="I4" i="4"/>
  <c r="I16" i="4"/>
  <c r="I23" i="4"/>
  <c r="I29" i="4"/>
  <c r="I14" i="4"/>
  <c r="I21" i="4"/>
  <c r="I10" i="4"/>
  <c r="I5" i="4"/>
  <c r="I22" i="4"/>
  <c r="I32" i="4"/>
  <c r="J413" i="4" l="1"/>
  <c r="I444" i="4"/>
  <c r="R117" i="6"/>
  <c r="R150" i="6"/>
  <c r="I410" i="4"/>
  <c r="I411" i="4" s="1"/>
  <c r="R83" i="6"/>
  <c r="J380" i="4"/>
  <c r="I376" i="4"/>
  <c r="I377" i="4" s="1"/>
  <c r="J345" i="4"/>
  <c r="R16" i="6"/>
  <c r="Q147" i="6"/>
  <c r="Q148" i="6" s="1"/>
  <c r="R49" i="6"/>
  <c r="J277" i="4"/>
  <c r="J310" i="4"/>
  <c r="Q114" i="6"/>
  <c r="Q115" i="6" s="1"/>
  <c r="I306" i="4"/>
  <c r="I341" i="4"/>
  <c r="I342" i="4" s="1"/>
  <c r="Q80" i="6"/>
  <c r="Q81" i="6" s="1"/>
  <c r="Q45" i="6"/>
  <c r="Q46" i="6" s="1"/>
  <c r="Q14" i="6"/>
  <c r="I274" i="4"/>
  <c r="I234" i="4"/>
  <c r="I200" i="4"/>
  <c r="I165" i="4"/>
  <c r="I134" i="4"/>
  <c r="I100" i="4"/>
  <c r="I67" i="4"/>
  <c r="I35" i="4"/>
</calcChain>
</file>

<file path=xl/sharedStrings.xml><?xml version="1.0" encoding="utf-8"?>
<sst xmlns="http://schemas.openxmlformats.org/spreadsheetml/2006/main" count="384" uniqueCount="44">
  <si>
    <t>Dias</t>
  </si>
  <si>
    <t>CDB DI</t>
  </si>
  <si>
    <t>CDB Fácil</t>
  </si>
  <si>
    <t>Lucro diário total</t>
  </si>
  <si>
    <t>Lucro diário CDB DI</t>
  </si>
  <si>
    <t>Lucro diário CDB Fácil</t>
  </si>
  <si>
    <t>Soma mensal</t>
  </si>
  <si>
    <t>mais 1.000</t>
  </si>
  <si>
    <t>mais 1000</t>
  </si>
  <si>
    <t>Lucro diário LCA/LCI</t>
  </si>
  <si>
    <t>LCA/LCI DI</t>
  </si>
  <si>
    <t>Total</t>
  </si>
  <si>
    <t>Turbo (115%)</t>
  </si>
  <si>
    <t>Emergência (103%)</t>
  </si>
  <si>
    <t>Teste (104%)</t>
  </si>
  <si>
    <t>LCA (94,5%)</t>
  </si>
  <si>
    <t>CDB (112%)</t>
  </si>
  <si>
    <t>Soma</t>
  </si>
  <si>
    <t>FIOCRUZ (100%)</t>
  </si>
  <si>
    <t>Média</t>
  </si>
  <si>
    <t>NuCel (120%)</t>
  </si>
  <si>
    <t>CDB  (100%)</t>
  </si>
  <si>
    <t>LCA-LCI (90%)</t>
  </si>
  <si>
    <t>data</t>
  </si>
  <si>
    <t>investimento</t>
  </si>
  <si>
    <t>valor</t>
  </si>
  <si>
    <t>31/10/2024</t>
  </si>
  <si>
    <t>CDB (100%)</t>
  </si>
  <si>
    <t>30/11/2024</t>
  </si>
  <si>
    <t>31/12/2024</t>
  </si>
  <si>
    <t>31/01/2025</t>
  </si>
  <si>
    <t>28/02/2025</t>
  </si>
  <si>
    <t>31/03/2025</t>
  </si>
  <si>
    <t>30/04/2025</t>
  </si>
  <si>
    <t>31/05/2025</t>
  </si>
  <si>
    <t>30/06/2025</t>
  </si>
  <si>
    <t>31/07/2025</t>
  </si>
  <si>
    <t>31/08/2025</t>
  </si>
  <si>
    <t>30/09/2025</t>
  </si>
  <si>
    <t>31/10/2025</t>
  </si>
  <si>
    <t>30/11/2025</t>
  </si>
  <si>
    <t>31/12/2025</t>
  </si>
  <si>
    <t>31/01/2026</t>
  </si>
  <si>
    <t>28/02/2026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</si>
</sst>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&quot;R$&quot;\ #,##0.00"/>
    <numFmt numFmtId="165" formatCode="0.000%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1" fillId="4" borderId="1" xfId="0" applyFont="1" applyFill="1" applyBorder="1"/>
    <xf numFmtId="14" fontId="0" fillId="6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164" fontId="1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0" fillId="10" borderId="3" xfId="0" applyNumberFormat="1" applyFill="1" applyBorder="1" applyAlignment="1">
      <alignment horizontal="center"/>
    </xf>
    <xf numFmtId="14" fontId="1" fillId="12" borderId="1" xfId="0" applyNumberFormat="1" applyFont="1" applyFill="1" applyBorder="1" applyAlignment="1">
      <alignment horizontal="center"/>
    </xf>
    <xf numFmtId="164" fontId="1" fillId="12" borderId="1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4" fontId="1" fillId="13" borderId="1" xfId="0" applyNumberFormat="1" applyFon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0" fillId="4" borderId="1" xfId="0" applyFill="1" applyBorder="1"/>
    <xf numFmtId="14" fontId="0" fillId="14" borderId="1" xfId="0" applyNumberFormat="1" applyFill="1" applyBorder="1" applyAlignment="1">
      <alignment horizontal="center"/>
    </xf>
    <xf numFmtId="164" fontId="4" fillId="14" borderId="1" xfId="0" applyNumberFormat="1" applyFont="1" applyFill="1" applyBorder="1" applyAlignment="1">
      <alignment horizontal="center"/>
    </xf>
    <xf numFmtId="164" fontId="1" fillId="14" borderId="1" xfId="0" applyNumberFormat="1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0" borderId="0" xfId="0" applyNumberFormat="1"/>
    <xf numFmtId="10" fontId="1" fillId="4" borderId="1" xfId="1" applyNumberFormat="1" applyFont="1" applyFill="1" applyBorder="1" applyAlignment="1">
      <alignment horizontal="center"/>
    </xf>
    <xf numFmtId="10" fontId="1" fillId="0" borderId="1" xfId="1" applyNumberFormat="1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5" fillId="15" borderId="1" xfId="0" applyFont="1" applyFill="1" applyBorder="1" applyAlignment="1">
      <alignment horizontal="left"/>
    </xf>
    <xf numFmtId="164" fontId="5" fillId="15" borderId="1" xfId="0" applyNumberFormat="1" applyFon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B88C00"/>
      <color rgb="FF32A9DE"/>
      <color rgb="FF8A0000"/>
      <color rgb="FFF4CC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09AD-AE80-4CCA-B262-CE75EF0E66EA}">
  <dimension ref="A1:C154"/>
  <sheetViews>
    <sheetView tabSelected="1" workbookViewId="0">
      <pane ySplit="1" topLeftCell="A2" activePane="bottomLeft" state="frozen"/>
      <selection pane="bottomLeft" activeCell="G22" sqref="G22"/>
    </sheetView>
  </sheetViews>
  <sheetFormatPr defaultRowHeight="15" x14ac:dyDescent="0.25"/>
  <cols>
    <col min="1" max="1" width="10.42578125" style="66" bestFit="1" customWidth="1"/>
    <col min="2" max="2" width="18" style="66" bestFit="1" customWidth="1"/>
    <col min="3" max="3" width="11.7109375" style="71" bestFit="1" customWidth="1"/>
    <col min="4" max="16384" width="9.140625" style="66"/>
  </cols>
  <sheetData>
    <row r="1" spans="1:3" x14ac:dyDescent="0.25">
      <c r="A1" s="68" t="s">
        <v>23</v>
      </c>
      <c r="B1" s="68" t="s">
        <v>24</v>
      </c>
      <c r="C1" s="69" t="s">
        <v>25</v>
      </c>
    </row>
    <row r="2" spans="1:3" x14ac:dyDescent="0.25">
      <c r="A2" s="67" t="s">
        <v>26</v>
      </c>
      <c r="B2" s="67" t="s">
        <v>27</v>
      </c>
      <c r="C2" s="70">
        <v>42255.71</v>
      </c>
    </row>
    <row r="3" spans="1:3" x14ac:dyDescent="0.25">
      <c r="A3" s="67" t="s">
        <v>26</v>
      </c>
      <c r="B3" s="67" t="s">
        <v>22</v>
      </c>
      <c r="C3" s="70">
        <v>0</v>
      </c>
    </row>
    <row r="4" spans="1:3" x14ac:dyDescent="0.25">
      <c r="A4" s="67" t="s">
        <v>26</v>
      </c>
      <c r="B4" s="67" t="s">
        <v>12</v>
      </c>
      <c r="C4" s="70">
        <v>0</v>
      </c>
    </row>
    <row r="5" spans="1:3" x14ac:dyDescent="0.25">
      <c r="A5" s="67" t="s">
        <v>26</v>
      </c>
      <c r="B5" s="67" t="s">
        <v>13</v>
      </c>
      <c r="C5" s="70">
        <v>0</v>
      </c>
    </row>
    <row r="6" spans="1:3" x14ac:dyDescent="0.25">
      <c r="A6" s="67" t="s">
        <v>26</v>
      </c>
      <c r="B6" s="67" t="s">
        <v>14</v>
      </c>
      <c r="C6" s="70">
        <v>0</v>
      </c>
    </row>
    <row r="7" spans="1:3" x14ac:dyDescent="0.25">
      <c r="A7" s="67" t="s">
        <v>26</v>
      </c>
      <c r="B7" s="67" t="s">
        <v>15</v>
      </c>
      <c r="C7" s="70">
        <v>0</v>
      </c>
    </row>
    <row r="8" spans="1:3" x14ac:dyDescent="0.25">
      <c r="A8" s="67" t="s">
        <v>26</v>
      </c>
      <c r="B8" s="67" t="s">
        <v>16</v>
      </c>
      <c r="C8" s="70">
        <v>0</v>
      </c>
    </row>
    <row r="9" spans="1:3" x14ac:dyDescent="0.25">
      <c r="A9" s="67" t="s">
        <v>26</v>
      </c>
      <c r="B9" s="67" t="s">
        <v>18</v>
      </c>
      <c r="C9" s="70">
        <v>0</v>
      </c>
    </row>
    <row r="10" spans="1:3" x14ac:dyDescent="0.25">
      <c r="A10" s="67" t="s">
        <v>26</v>
      </c>
      <c r="B10" s="67" t="s">
        <v>20</v>
      </c>
      <c r="C10" s="70">
        <v>0</v>
      </c>
    </row>
    <row r="11" spans="1:3" x14ac:dyDescent="0.25">
      <c r="A11" s="67" t="s">
        <v>28</v>
      </c>
      <c r="B11" s="67" t="s">
        <v>27</v>
      </c>
      <c r="C11" s="70">
        <v>42589.29</v>
      </c>
    </row>
    <row r="12" spans="1:3" x14ac:dyDescent="0.25">
      <c r="A12" s="67" t="s">
        <v>28</v>
      </c>
      <c r="B12" s="67" t="s">
        <v>22</v>
      </c>
      <c r="C12" s="70">
        <v>0</v>
      </c>
    </row>
    <row r="13" spans="1:3" x14ac:dyDescent="0.25">
      <c r="A13" s="67" t="s">
        <v>28</v>
      </c>
      <c r="B13" s="67" t="s">
        <v>12</v>
      </c>
      <c r="C13" s="70">
        <v>0</v>
      </c>
    </row>
    <row r="14" spans="1:3" x14ac:dyDescent="0.25">
      <c r="A14" s="67" t="s">
        <v>28</v>
      </c>
      <c r="B14" s="67" t="s">
        <v>13</v>
      </c>
      <c r="C14" s="70">
        <v>0</v>
      </c>
    </row>
    <row r="15" spans="1:3" x14ac:dyDescent="0.25">
      <c r="A15" s="67" t="s">
        <v>28</v>
      </c>
      <c r="B15" s="67" t="s">
        <v>14</v>
      </c>
      <c r="C15" s="70">
        <v>0</v>
      </c>
    </row>
    <row r="16" spans="1:3" x14ac:dyDescent="0.25">
      <c r="A16" s="67" t="s">
        <v>28</v>
      </c>
      <c r="B16" s="67" t="s">
        <v>15</v>
      </c>
      <c r="C16" s="70">
        <v>0</v>
      </c>
    </row>
    <row r="17" spans="1:3" x14ac:dyDescent="0.25">
      <c r="A17" s="67" t="s">
        <v>28</v>
      </c>
      <c r="B17" s="67" t="s">
        <v>16</v>
      </c>
      <c r="C17" s="70">
        <v>0</v>
      </c>
    </row>
    <row r="18" spans="1:3" x14ac:dyDescent="0.25">
      <c r="A18" s="67" t="s">
        <v>28</v>
      </c>
      <c r="B18" s="67" t="s">
        <v>18</v>
      </c>
      <c r="C18" s="70">
        <v>0</v>
      </c>
    </row>
    <row r="19" spans="1:3" x14ac:dyDescent="0.25">
      <c r="A19" s="67" t="s">
        <v>28</v>
      </c>
      <c r="B19" s="67" t="s">
        <v>20</v>
      </c>
      <c r="C19" s="70">
        <v>0</v>
      </c>
    </row>
    <row r="20" spans="1:3" x14ac:dyDescent="0.25">
      <c r="A20" s="67" t="s">
        <v>29</v>
      </c>
      <c r="B20" s="67" t="s">
        <v>27</v>
      </c>
      <c r="C20" s="70">
        <v>43913.42</v>
      </c>
    </row>
    <row r="21" spans="1:3" x14ac:dyDescent="0.25">
      <c r="A21" s="67" t="s">
        <v>29</v>
      </c>
      <c r="B21" s="67" t="s">
        <v>22</v>
      </c>
      <c r="C21" s="70">
        <v>1007.96</v>
      </c>
    </row>
    <row r="22" spans="1:3" x14ac:dyDescent="0.25">
      <c r="A22" s="67" t="s">
        <v>29</v>
      </c>
      <c r="B22" s="67" t="s">
        <v>12</v>
      </c>
      <c r="C22" s="70">
        <v>0</v>
      </c>
    </row>
    <row r="23" spans="1:3" x14ac:dyDescent="0.25">
      <c r="A23" s="67" t="s">
        <v>29</v>
      </c>
      <c r="B23" s="67" t="s">
        <v>13</v>
      </c>
      <c r="C23" s="70">
        <v>0</v>
      </c>
    </row>
    <row r="24" spans="1:3" x14ac:dyDescent="0.25">
      <c r="A24" s="67" t="s">
        <v>29</v>
      </c>
      <c r="B24" s="67" t="s">
        <v>14</v>
      </c>
      <c r="C24" s="70">
        <v>0</v>
      </c>
    </row>
    <row r="25" spans="1:3" x14ac:dyDescent="0.25">
      <c r="A25" s="67" t="s">
        <v>29</v>
      </c>
      <c r="B25" s="67" t="s">
        <v>15</v>
      </c>
      <c r="C25" s="70">
        <v>0</v>
      </c>
    </row>
    <row r="26" spans="1:3" x14ac:dyDescent="0.25">
      <c r="A26" s="67" t="s">
        <v>29</v>
      </c>
      <c r="B26" s="67" t="s">
        <v>16</v>
      </c>
      <c r="C26" s="70">
        <v>0</v>
      </c>
    </row>
    <row r="27" spans="1:3" x14ac:dyDescent="0.25">
      <c r="A27" s="67" t="s">
        <v>29</v>
      </c>
      <c r="B27" s="67" t="s">
        <v>18</v>
      </c>
      <c r="C27" s="70">
        <v>0</v>
      </c>
    </row>
    <row r="28" spans="1:3" x14ac:dyDescent="0.25">
      <c r="A28" s="67" t="s">
        <v>29</v>
      </c>
      <c r="B28" s="67" t="s">
        <v>20</v>
      </c>
      <c r="C28" s="70">
        <v>0</v>
      </c>
    </row>
    <row r="29" spans="1:3" x14ac:dyDescent="0.25">
      <c r="A29" s="67" t="s">
        <v>30</v>
      </c>
      <c r="B29" s="67" t="s">
        <v>27</v>
      </c>
      <c r="C29" s="70">
        <v>44285.96</v>
      </c>
    </row>
    <row r="30" spans="1:3" x14ac:dyDescent="0.25">
      <c r="A30" s="67" t="s">
        <v>30</v>
      </c>
      <c r="B30" s="67" t="s">
        <v>22</v>
      </c>
      <c r="C30" s="70">
        <v>3032.8</v>
      </c>
    </row>
    <row r="31" spans="1:3" x14ac:dyDescent="0.25">
      <c r="A31" s="67" t="s">
        <v>30</v>
      </c>
      <c r="B31" s="67" t="s">
        <v>12</v>
      </c>
      <c r="C31" s="70">
        <v>0</v>
      </c>
    </row>
    <row r="32" spans="1:3" x14ac:dyDescent="0.25">
      <c r="A32" s="67" t="s">
        <v>30</v>
      </c>
      <c r="B32" s="67" t="s">
        <v>13</v>
      </c>
      <c r="C32" s="70">
        <v>0</v>
      </c>
    </row>
    <row r="33" spans="1:3" x14ac:dyDescent="0.25">
      <c r="A33" s="67" t="s">
        <v>30</v>
      </c>
      <c r="B33" s="67" t="s">
        <v>14</v>
      </c>
      <c r="C33" s="70">
        <v>0</v>
      </c>
    </row>
    <row r="34" spans="1:3" x14ac:dyDescent="0.25">
      <c r="A34" s="67" t="s">
        <v>30</v>
      </c>
      <c r="B34" s="67" t="s">
        <v>15</v>
      </c>
      <c r="C34" s="70">
        <v>0</v>
      </c>
    </row>
    <row r="35" spans="1:3" x14ac:dyDescent="0.25">
      <c r="A35" s="67" t="s">
        <v>30</v>
      </c>
      <c r="B35" s="67" t="s">
        <v>16</v>
      </c>
      <c r="C35" s="70">
        <v>0</v>
      </c>
    </row>
    <row r="36" spans="1:3" x14ac:dyDescent="0.25">
      <c r="A36" s="67" t="s">
        <v>30</v>
      </c>
      <c r="B36" s="67" t="s">
        <v>18</v>
      </c>
      <c r="C36" s="70">
        <v>0</v>
      </c>
    </row>
    <row r="37" spans="1:3" x14ac:dyDescent="0.25">
      <c r="A37" s="67" t="s">
        <v>30</v>
      </c>
      <c r="B37" s="67" t="s">
        <v>20</v>
      </c>
      <c r="C37" s="70">
        <v>0</v>
      </c>
    </row>
    <row r="38" spans="1:3" x14ac:dyDescent="0.25">
      <c r="A38" s="67" t="s">
        <v>31</v>
      </c>
      <c r="B38" s="67" t="s">
        <v>27</v>
      </c>
      <c r="C38" s="70">
        <v>44648.94</v>
      </c>
    </row>
    <row r="39" spans="1:3" x14ac:dyDescent="0.25">
      <c r="A39" s="67" t="s">
        <v>31</v>
      </c>
      <c r="B39" s="67" t="s">
        <v>22</v>
      </c>
      <c r="C39" s="70">
        <v>5075.7</v>
      </c>
    </row>
    <row r="40" spans="1:3" x14ac:dyDescent="0.25">
      <c r="A40" s="67" t="s">
        <v>31</v>
      </c>
      <c r="B40" s="67" t="s">
        <v>12</v>
      </c>
      <c r="C40" s="70">
        <v>0</v>
      </c>
    </row>
    <row r="41" spans="1:3" x14ac:dyDescent="0.25">
      <c r="A41" s="67" t="s">
        <v>31</v>
      </c>
      <c r="B41" s="67" t="s">
        <v>13</v>
      </c>
      <c r="C41" s="70">
        <v>0</v>
      </c>
    </row>
    <row r="42" spans="1:3" x14ac:dyDescent="0.25">
      <c r="A42" s="67" t="s">
        <v>31</v>
      </c>
      <c r="B42" s="67" t="s">
        <v>14</v>
      </c>
      <c r="C42" s="70">
        <v>0</v>
      </c>
    </row>
    <row r="43" spans="1:3" x14ac:dyDescent="0.25">
      <c r="A43" s="67" t="s">
        <v>31</v>
      </c>
      <c r="B43" s="67" t="s">
        <v>15</v>
      </c>
      <c r="C43" s="70">
        <v>0</v>
      </c>
    </row>
    <row r="44" spans="1:3" x14ac:dyDescent="0.25">
      <c r="A44" s="67" t="s">
        <v>31</v>
      </c>
      <c r="B44" s="67" t="s">
        <v>16</v>
      </c>
      <c r="C44" s="70">
        <v>0</v>
      </c>
    </row>
    <row r="45" spans="1:3" x14ac:dyDescent="0.25">
      <c r="A45" s="67" t="s">
        <v>31</v>
      </c>
      <c r="B45" s="67" t="s">
        <v>18</v>
      </c>
      <c r="C45" s="70">
        <v>0</v>
      </c>
    </row>
    <row r="46" spans="1:3" x14ac:dyDescent="0.25">
      <c r="A46" s="67" t="s">
        <v>31</v>
      </c>
      <c r="B46" s="67" t="s">
        <v>20</v>
      </c>
      <c r="C46" s="70">
        <v>0</v>
      </c>
    </row>
    <row r="47" spans="1:3" x14ac:dyDescent="0.25">
      <c r="A47" s="67" t="s">
        <v>32</v>
      </c>
      <c r="B47" s="67" t="s">
        <v>27</v>
      </c>
      <c r="C47" s="70">
        <v>48042.96</v>
      </c>
    </row>
    <row r="48" spans="1:3" x14ac:dyDescent="0.25">
      <c r="A48" s="67" t="s">
        <v>32</v>
      </c>
      <c r="B48" s="67" t="s">
        <v>22</v>
      </c>
      <c r="C48" s="70">
        <v>5119.66</v>
      </c>
    </row>
    <row r="49" spans="1:3" x14ac:dyDescent="0.25">
      <c r="A49" s="67" t="s">
        <v>32</v>
      </c>
      <c r="B49" s="67" t="s">
        <v>12</v>
      </c>
      <c r="C49" s="70">
        <v>0</v>
      </c>
    </row>
    <row r="50" spans="1:3" x14ac:dyDescent="0.25">
      <c r="A50" s="67" t="s">
        <v>32</v>
      </c>
      <c r="B50" s="67" t="s">
        <v>13</v>
      </c>
      <c r="C50" s="70">
        <v>0</v>
      </c>
    </row>
    <row r="51" spans="1:3" x14ac:dyDescent="0.25">
      <c r="A51" s="67" t="s">
        <v>32</v>
      </c>
      <c r="B51" s="67" t="s">
        <v>14</v>
      </c>
      <c r="C51" s="70">
        <v>0</v>
      </c>
    </row>
    <row r="52" spans="1:3" x14ac:dyDescent="0.25">
      <c r="A52" s="67" t="s">
        <v>32</v>
      </c>
      <c r="B52" s="67" t="s">
        <v>15</v>
      </c>
      <c r="C52" s="70">
        <v>0</v>
      </c>
    </row>
    <row r="53" spans="1:3" x14ac:dyDescent="0.25">
      <c r="A53" s="67" t="s">
        <v>32</v>
      </c>
      <c r="B53" s="67" t="s">
        <v>16</v>
      </c>
      <c r="C53" s="70">
        <v>0</v>
      </c>
    </row>
    <row r="54" spans="1:3" x14ac:dyDescent="0.25">
      <c r="A54" s="67" t="s">
        <v>32</v>
      </c>
      <c r="B54" s="67" t="s">
        <v>18</v>
      </c>
      <c r="C54" s="70">
        <v>0</v>
      </c>
    </row>
    <row r="55" spans="1:3" x14ac:dyDescent="0.25">
      <c r="A55" s="67" t="s">
        <v>32</v>
      </c>
      <c r="B55" s="67" t="s">
        <v>20</v>
      </c>
      <c r="C55" s="70">
        <v>0</v>
      </c>
    </row>
    <row r="56" spans="1:3" x14ac:dyDescent="0.25">
      <c r="A56" s="67" t="s">
        <v>33</v>
      </c>
      <c r="B56" s="67" t="s">
        <v>27</v>
      </c>
      <c r="C56" s="70">
        <v>50512.86</v>
      </c>
    </row>
    <row r="57" spans="1:3" x14ac:dyDescent="0.25">
      <c r="A57" s="67" t="s">
        <v>33</v>
      </c>
      <c r="B57" s="67" t="s">
        <v>22</v>
      </c>
      <c r="C57" s="70">
        <v>6177.3</v>
      </c>
    </row>
    <row r="58" spans="1:3" x14ac:dyDescent="0.25">
      <c r="A58" s="67" t="s">
        <v>33</v>
      </c>
      <c r="B58" s="67" t="s">
        <v>12</v>
      </c>
      <c r="C58" s="70">
        <v>0</v>
      </c>
    </row>
    <row r="59" spans="1:3" x14ac:dyDescent="0.25">
      <c r="A59" s="67" t="s">
        <v>33</v>
      </c>
      <c r="B59" s="67" t="s">
        <v>13</v>
      </c>
      <c r="C59" s="70">
        <v>0</v>
      </c>
    </row>
    <row r="60" spans="1:3" x14ac:dyDescent="0.25">
      <c r="A60" s="67" t="s">
        <v>33</v>
      </c>
      <c r="B60" s="67" t="s">
        <v>14</v>
      </c>
      <c r="C60" s="70">
        <v>0</v>
      </c>
    </row>
    <row r="61" spans="1:3" x14ac:dyDescent="0.25">
      <c r="A61" s="67" t="s">
        <v>33</v>
      </c>
      <c r="B61" s="67" t="s">
        <v>15</v>
      </c>
      <c r="C61" s="70">
        <v>0</v>
      </c>
    </row>
    <row r="62" spans="1:3" x14ac:dyDescent="0.25">
      <c r="A62" s="67" t="s">
        <v>33</v>
      </c>
      <c r="B62" s="67" t="s">
        <v>16</v>
      </c>
      <c r="C62" s="70">
        <v>0</v>
      </c>
    </row>
    <row r="63" spans="1:3" x14ac:dyDescent="0.25">
      <c r="A63" s="67" t="s">
        <v>33</v>
      </c>
      <c r="B63" s="67" t="s">
        <v>18</v>
      </c>
      <c r="C63" s="70">
        <v>0</v>
      </c>
    </row>
    <row r="64" spans="1:3" x14ac:dyDescent="0.25">
      <c r="A64" s="67" t="s">
        <v>33</v>
      </c>
      <c r="B64" s="67" t="s">
        <v>20</v>
      </c>
      <c r="C64" s="70">
        <v>0</v>
      </c>
    </row>
    <row r="65" spans="1:3" x14ac:dyDescent="0.25">
      <c r="A65" s="67" t="s">
        <v>34</v>
      </c>
      <c r="B65" s="67" t="s">
        <v>27</v>
      </c>
      <c r="C65" s="70">
        <v>18429.43</v>
      </c>
    </row>
    <row r="66" spans="1:3" x14ac:dyDescent="0.25">
      <c r="A66" s="67" t="s">
        <v>34</v>
      </c>
      <c r="B66" s="67" t="s">
        <v>22</v>
      </c>
      <c r="C66" s="70">
        <v>6243.53</v>
      </c>
    </row>
    <row r="67" spans="1:3" x14ac:dyDescent="0.25">
      <c r="A67" s="67" t="s">
        <v>34</v>
      </c>
      <c r="B67" s="67" t="s">
        <v>12</v>
      </c>
      <c r="C67" s="70">
        <v>5059.07</v>
      </c>
    </row>
    <row r="68" spans="1:3" x14ac:dyDescent="0.25">
      <c r="A68" s="67" t="s">
        <v>34</v>
      </c>
      <c r="B68" s="67" t="s">
        <v>13</v>
      </c>
      <c r="C68" s="70">
        <v>23981.82</v>
      </c>
    </row>
    <row r="69" spans="1:3" x14ac:dyDescent="0.25">
      <c r="A69" s="67" t="s">
        <v>34</v>
      </c>
      <c r="B69" s="67" t="s">
        <v>14</v>
      </c>
      <c r="C69" s="70">
        <v>4766.92</v>
      </c>
    </row>
    <row r="70" spans="1:3" x14ac:dyDescent="0.25">
      <c r="A70" s="67" t="s">
        <v>34</v>
      </c>
      <c r="B70" s="67" t="s">
        <v>15</v>
      </c>
      <c r="C70" s="70">
        <v>1007.2</v>
      </c>
    </row>
    <row r="71" spans="1:3" x14ac:dyDescent="0.25">
      <c r="A71" s="67" t="s">
        <v>34</v>
      </c>
      <c r="B71" s="67" t="s">
        <v>16</v>
      </c>
      <c r="C71" s="70">
        <v>1008.54</v>
      </c>
    </row>
    <row r="72" spans="1:3" x14ac:dyDescent="0.25">
      <c r="A72" s="67" t="s">
        <v>34</v>
      </c>
      <c r="B72" s="67" t="s">
        <v>18</v>
      </c>
      <c r="C72" s="70">
        <v>0</v>
      </c>
    </row>
    <row r="73" spans="1:3" x14ac:dyDescent="0.25">
      <c r="A73" s="67" t="s">
        <v>34</v>
      </c>
      <c r="B73" s="67" t="s">
        <v>20</v>
      </c>
      <c r="C73" s="70">
        <v>0</v>
      </c>
    </row>
    <row r="74" spans="1:3" x14ac:dyDescent="0.25">
      <c r="A74" s="67" t="s">
        <v>35</v>
      </c>
      <c r="B74" s="67" t="s">
        <v>27</v>
      </c>
      <c r="C74" s="70">
        <v>18826.84</v>
      </c>
    </row>
    <row r="75" spans="1:3" x14ac:dyDescent="0.25">
      <c r="A75" s="67" t="s">
        <v>35</v>
      </c>
      <c r="B75" s="67" t="s">
        <v>22</v>
      </c>
      <c r="C75" s="70">
        <v>6302.02</v>
      </c>
    </row>
    <row r="76" spans="1:3" x14ac:dyDescent="0.25">
      <c r="A76" s="67" t="s">
        <v>35</v>
      </c>
      <c r="B76" s="67" t="s">
        <v>12</v>
      </c>
      <c r="C76" s="70">
        <v>5118.7</v>
      </c>
    </row>
    <row r="77" spans="1:3" x14ac:dyDescent="0.25">
      <c r="A77" s="67" t="s">
        <v>35</v>
      </c>
      <c r="B77" s="67" t="s">
        <v>13</v>
      </c>
      <c r="C77" s="70">
        <v>24233.47</v>
      </c>
    </row>
    <row r="78" spans="1:3" x14ac:dyDescent="0.25">
      <c r="A78" s="67" t="s">
        <v>35</v>
      </c>
      <c r="B78" s="67" t="s">
        <v>14</v>
      </c>
      <c r="C78" s="70">
        <v>4818.57</v>
      </c>
    </row>
    <row r="79" spans="1:3" x14ac:dyDescent="0.25">
      <c r="A79" s="67" t="s">
        <v>35</v>
      </c>
      <c r="B79" s="67" t="s">
        <v>15</v>
      </c>
      <c r="C79" s="70">
        <v>1017.11</v>
      </c>
    </row>
    <row r="80" spans="1:3" x14ac:dyDescent="0.25">
      <c r="A80" s="67" t="s">
        <v>35</v>
      </c>
      <c r="B80" s="67" t="s">
        <v>16</v>
      </c>
      <c r="C80" s="70">
        <v>1020.31</v>
      </c>
    </row>
    <row r="81" spans="1:3" x14ac:dyDescent="0.25">
      <c r="A81" s="67" t="s">
        <v>35</v>
      </c>
      <c r="B81" s="67" t="s">
        <v>18</v>
      </c>
      <c r="C81" s="70">
        <v>0</v>
      </c>
    </row>
    <row r="82" spans="1:3" x14ac:dyDescent="0.25">
      <c r="A82" s="67" t="s">
        <v>35</v>
      </c>
      <c r="B82" s="67" t="s">
        <v>20</v>
      </c>
      <c r="C82" s="70">
        <v>0</v>
      </c>
    </row>
    <row r="83" spans="1:3" x14ac:dyDescent="0.25">
      <c r="A83" s="67" t="s">
        <v>36</v>
      </c>
      <c r="B83" s="67" t="s">
        <v>27</v>
      </c>
      <c r="C83" s="70">
        <v>19065.47</v>
      </c>
    </row>
    <row r="84" spans="1:3" x14ac:dyDescent="0.25">
      <c r="A84" s="67" t="s">
        <v>36</v>
      </c>
      <c r="B84" s="67" t="s">
        <v>22</v>
      </c>
      <c r="C84" s="70">
        <v>6374.33</v>
      </c>
    </row>
    <row r="85" spans="1:3" x14ac:dyDescent="0.25">
      <c r="A85" s="67" t="s">
        <v>36</v>
      </c>
      <c r="B85" s="67" t="s">
        <v>12</v>
      </c>
      <c r="C85" s="70">
        <v>5193.87</v>
      </c>
    </row>
    <row r="86" spans="1:3" x14ac:dyDescent="0.25">
      <c r="A86" s="67" t="s">
        <v>36</v>
      </c>
      <c r="B86" s="67" t="s">
        <v>13</v>
      </c>
      <c r="C86" s="70">
        <v>24550.13</v>
      </c>
    </row>
    <row r="87" spans="1:3" x14ac:dyDescent="0.25">
      <c r="A87" s="67" t="s">
        <v>36</v>
      </c>
      <c r="B87" s="67" t="s">
        <v>14</v>
      </c>
      <c r="C87" s="70">
        <v>4882.5</v>
      </c>
    </row>
    <row r="88" spans="1:3" x14ac:dyDescent="0.25">
      <c r="A88" s="67" t="s">
        <v>36</v>
      </c>
      <c r="B88" s="67" t="s">
        <v>15</v>
      </c>
      <c r="C88" s="70">
        <v>1029.9100000000001</v>
      </c>
    </row>
    <row r="89" spans="1:3" x14ac:dyDescent="0.25">
      <c r="A89" s="67" t="s">
        <v>36</v>
      </c>
      <c r="B89" s="67" t="s">
        <v>16</v>
      </c>
      <c r="C89" s="70">
        <v>1035.54</v>
      </c>
    </row>
    <row r="90" spans="1:3" x14ac:dyDescent="0.25">
      <c r="A90" s="67" t="s">
        <v>36</v>
      </c>
      <c r="B90" s="67" t="s">
        <v>18</v>
      </c>
      <c r="C90" s="70">
        <v>3000</v>
      </c>
    </row>
    <row r="91" spans="1:3" x14ac:dyDescent="0.25">
      <c r="A91" s="67" t="s">
        <v>36</v>
      </c>
      <c r="B91" s="67" t="s">
        <v>20</v>
      </c>
      <c r="C91" s="70">
        <v>0</v>
      </c>
    </row>
    <row r="92" spans="1:3" x14ac:dyDescent="0.25">
      <c r="A92" s="67" t="s">
        <v>37</v>
      </c>
      <c r="B92" s="67" t="s">
        <v>27</v>
      </c>
      <c r="C92" s="70">
        <v>19286</v>
      </c>
    </row>
    <row r="93" spans="1:3" x14ac:dyDescent="0.25">
      <c r="A93" s="67" t="s">
        <v>37</v>
      </c>
      <c r="B93" s="67" t="s">
        <v>22</v>
      </c>
      <c r="C93" s="70">
        <v>6441.08</v>
      </c>
    </row>
    <row r="94" spans="1:3" x14ac:dyDescent="0.25">
      <c r="A94" s="67" t="s">
        <v>37</v>
      </c>
      <c r="B94" s="67" t="s">
        <v>12</v>
      </c>
      <c r="C94" s="70">
        <v>5263.47</v>
      </c>
    </row>
    <row r="95" spans="1:3" x14ac:dyDescent="0.25">
      <c r="A95" s="67" t="s">
        <v>37</v>
      </c>
      <c r="B95" s="67" t="s">
        <v>13</v>
      </c>
      <c r="C95" s="70">
        <v>24836.46</v>
      </c>
    </row>
    <row r="96" spans="1:3" x14ac:dyDescent="0.25">
      <c r="A96" s="67" t="s">
        <v>37</v>
      </c>
      <c r="B96" s="67" t="s">
        <v>14</v>
      </c>
      <c r="C96" s="70">
        <v>4941.62</v>
      </c>
    </row>
    <row r="97" spans="1:3" x14ac:dyDescent="0.25">
      <c r="A97" s="67" t="s">
        <v>37</v>
      </c>
      <c r="B97" s="67" t="s">
        <v>15</v>
      </c>
      <c r="C97" s="70">
        <v>1041.23</v>
      </c>
    </row>
    <row r="98" spans="1:3" x14ac:dyDescent="0.25">
      <c r="A98" s="67" t="s">
        <v>37</v>
      </c>
      <c r="B98" s="67" t="s">
        <v>16</v>
      </c>
      <c r="C98" s="70">
        <v>1049.05</v>
      </c>
    </row>
    <row r="99" spans="1:3" x14ac:dyDescent="0.25">
      <c r="A99" s="67" t="s">
        <v>37</v>
      </c>
      <c r="B99" s="67" t="s">
        <v>18</v>
      </c>
      <c r="C99" s="70">
        <v>3034.92</v>
      </c>
    </row>
    <row r="100" spans="1:3" x14ac:dyDescent="0.25">
      <c r="A100" s="67" t="s">
        <v>37</v>
      </c>
      <c r="B100" s="67" t="s">
        <v>20</v>
      </c>
      <c r="C100" s="70">
        <v>0</v>
      </c>
    </row>
    <row r="101" spans="1:3" x14ac:dyDescent="0.25">
      <c r="A101" s="67" t="s">
        <v>38</v>
      </c>
      <c r="B101" s="67" t="s">
        <v>27</v>
      </c>
      <c r="C101" s="70">
        <v>19519.78</v>
      </c>
    </row>
    <row r="102" spans="1:3" x14ac:dyDescent="0.25">
      <c r="A102" s="67" t="s">
        <v>38</v>
      </c>
      <c r="B102" s="67" t="s">
        <v>22</v>
      </c>
      <c r="C102" s="70">
        <v>6511.77</v>
      </c>
    </row>
    <row r="103" spans="1:3" x14ac:dyDescent="0.25">
      <c r="A103" s="67" t="s">
        <v>38</v>
      </c>
      <c r="B103" s="67" t="s">
        <v>12</v>
      </c>
      <c r="C103" s="70">
        <v>5337.36</v>
      </c>
    </row>
    <row r="104" spans="1:3" x14ac:dyDescent="0.25">
      <c r="A104" s="67" t="s">
        <v>38</v>
      </c>
      <c r="B104" s="67" t="s">
        <v>13</v>
      </c>
      <c r="C104" s="70">
        <v>25140.26</v>
      </c>
    </row>
    <row r="105" spans="1:3" x14ac:dyDescent="0.25">
      <c r="A105" s="67" t="s">
        <v>38</v>
      </c>
      <c r="B105" s="67" t="s">
        <v>14</v>
      </c>
      <c r="C105" s="70">
        <v>5004.33</v>
      </c>
    </row>
    <row r="106" spans="1:3" x14ac:dyDescent="0.25">
      <c r="A106" s="67" t="s">
        <v>38</v>
      </c>
      <c r="B106" s="67" t="s">
        <v>15</v>
      </c>
      <c r="C106" s="70">
        <v>1053.23</v>
      </c>
    </row>
    <row r="107" spans="1:3" x14ac:dyDescent="0.25">
      <c r="A107" s="67" t="s">
        <v>38</v>
      </c>
      <c r="B107" s="67" t="s">
        <v>16</v>
      </c>
      <c r="C107" s="70">
        <v>1063.3900000000001</v>
      </c>
    </row>
    <row r="108" spans="1:3" x14ac:dyDescent="0.25">
      <c r="A108" s="67" t="s">
        <v>38</v>
      </c>
      <c r="B108" s="67" t="s">
        <v>18</v>
      </c>
      <c r="C108" s="70">
        <v>6105.2</v>
      </c>
    </row>
    <row r="109" spans="1:3" x14ac:dyDescent="0.25">
      <c r="A109" s="67" t="s">
        <v>38</v>
      </c>
      <c r="B109" s="67" t="s">
        <v>20</v>
      </c>
      <c r="C109" s="70">
        <v>0</v>
      </c>
    </row>
    <row r="110" spans="1:3" x14ac:dyDescent="0.25">
      <c r="A110" s="67" t="s">
        <v>39</v>
      </c>
      <c r="B110" s="67" t="s">
        <v>27</v>
      </c>
      <c r="C110" s="70">
        <v>8410.74</v>
      </c>
    </row>
    <row r="111" spans="1:3" x14ac:dyDescent="0.25">
      <c r="A111" s="67" t="s">
        <v>39</v>
      </c>
      <c r="B111" s="67" t="s">
        <v>22</v>
      </c>
      <c r="C111" s="70">
        <v>6586.5</v>
      </c>
    </row>
    <row r="112" spans="1:3" x14ac:dyDescent="0.25">
      <c r="A112" s="67" t="s">
        <v>39</v>
      </c>
      <c r="B112" s="67" t="s">
        <v>12</v>
      </c>
      <c r="C112" s="70">
        <v>5415.74</v>
      </c>
    </row>
    <row r="113" spans="1:3" x14ac:dyDescent="0.25">
      <c r="A113" s="67" t="s">
        <v>39</v>
      </c>
      <c r="B113" s="67" t="s">
        <v>13</v>
      </c>
      <c r="C113" s="70">
        <v>25452.02</v>
      </c>
    </row>
    <row r="114" spans="1:3" x14ac:dyDescent="0.25">
      <c r="A114" s="67" t="s">
        <v>39</v>
      </c>
      <c r="B114" s="67" t="s">
        <v>14</v>
      </c>
      <c r="C114" s="70">
        <v>5070.76</v>
      </c>
    </row>
    <row r="115" spans="1:3" x14ac:dyDescent="0.25">
      <c r="A115" s="67" t="s">
        <v>39</v>
      </c>
      <c r="B115" s="67" t="s">
        <v>15</v>
      </c>
      <c r="C115" s="70">
        <v>1065.93</v>
      </c>
    </row>
    <row r="116" spans="1:3" x14ac:dyDescent="0.25">
      <c r="A116" s="67" t="s">
        <v>39</v>
      </c>
      <c r="B116" s="67" t="s">
        <v>16</v>
      </c>
      <c r="C116" s="70">
        <v>1078.5999999999999</v>
      </c>
    </row>
    <row r="117" spans="1:3" x14ac:dyDescent="0.25">
      <c r="A117" s="67" t="s">
        <v>39</v>
      </c>
      <c r="B117" s="67" t="s">
        <v>18</v>
      </c>
      <c r="C117" s="70">
        <v>9218.01</v>
      </c>
    </row>
    <row r="118" spans="1:3" x14ac:dyDescent="0.25">
      <c r="A118" s="67" t="s">
        <v>39</v>
      </c>
      <c r="B118" s="67" t="s">
        <v>20</v>
      </c>
      <c r="C118" s="70">
        <v>10016.549999999999</v>
      </c>
    </row>
    <row r="119" spans="1:3" x14ac:dyDescent="0.25">
      <c r="A119" s="67" t="s">
        <v>40</v>
      </c>
      <c r="B119" s="67" t="s">
        <v>27</v>
      </c>
      <c r="C119" s="70">
        <v>8499.7800000000007</v>
      </c>
    </row>
    <row r="120" spans="1:3" x14ac:dyDescent="0.25">
      <c r="A120" s="67" t="s">
        <v>40</v>
      </c>
      <c r="B120" s="67" t="s">
        <v>22</v>
      </c>
      <c r="C120" s="70">
        <v>6648.86</v>
      </c>
    </row>
    <row r="121" spans="1:3" x14ac:dyDescent="0.25">
      <c r="A121" s="67" t="s">
        <v>40</v>
      </c>
      <c r="B121" s="67" t="s">
        <v>12</v>
      </c>
      <c r="C121" s="70">
        <v>5481.35</v>
      </c>
    </row>
    <row r="122" spans="1:3" x14ac:dyDescent="0.25">
      <c r="A122" s="67" t="s">
        <v>40</v>
      </c>
      <c r="B122" s="67" t="s">
        <v>13</v>
      </c>
      <c r="C122" s="70">
        <v>25446.63</v>
      </c>
    </row>
    <row r="123" spans="1:3" x14ac:dyDescent="0.25">
      <c r="A123" s="67" t="s">
        <v>40</v>
      </c>
      <c r="B123" s="67" t="s">
        <v>14</v>
      </c>
      <c r="C123" s="70">
        <v>5126.28</v>
      </c>
    </row>
    <row r="124" spans="1:3" x14ac:dyDescent="0.25">
      <c r="A124" s="67" t="s">
        <v>40</v>
      </c>
      <c r="B124" s="67" t="s">
        <v>15</v>
      </c>
      <c r="C124" s="70">
        <v>1076.53</v>
      </c>
    </row>
    <row r="125" spans="1:3" x14ac:dyDescent="0.25">
      <c r="A125" s="67" t="s">
        <v>40</v>
      </c>
      <c r="B125" s="67" t="s">
        <v>16</v>
      </c>
      <c r="C125" s="70">
        <v>1091.32</v>
      </c>
    </row>
    <row r="126" spans="1:3" x14ac:dyDescent="0.25">
      <c r="A126" s="67" t="s">
        <v>40</v>
      </c>
      <c r="B126" s="67" t="s">
        <v>18</v>
      </c>
      <c r="C126" s="70">
        <v>10329.51</v>
      </c>
    </row>
    <row r="127" spans="1:3" x14ac:dyDescent="0.25">
      <c r="A127" s="67" t="s">
        <v>40</v>
      </c>
      <c r="B127" s="67" t="s">
        <v>20</v>
      </c>
      <c r="C127" s="70">
        <v>10143.209999999999</v>
      </c>
    </row>
    <row r="128" spans="1:3" x14ac:dyDescent="0.25">
      <c r="A128" s="67" t="s">
        <v>41</v>
      </c>
      <c r="B128" s="67" t="s">
        <v>27</v>
      </c>
      <c r="C128" s="70">
        <v>8597.92</v>
      </c>
    </row>
    <row r="129" spans="1:3" x14ac:dyDescent="0.25">
      <c r="A129" s="67" t="s">
        <v>41</v>
      </c>
      <c r="B129" s="67" t="s">
        <v>22</v>
      </c>
      <c r="C129" s="70">
        <v>6718.49</v>
      </c>
    </row>
    <row r="130" spans="1:3" x14ac:dyDescent="0.25">
      <c r="A130" s="67" t="s">
        <v>41</v>
      </c>
      <c r="B130" s="67" t="s">
        <v>12</v>
      </c>
      <c r="C130" s="70">
        <v>5554.79</v>
      </c>
    </row>
    <row r="131" spans="1:3" x14ac:dyDescent="0.25">
      <c r="A131" s="67" t="s">
        <v>41</v>
      </c>
      <c r="B131" s="67" t="s">
        <v>13</v>
      </c>
      <c r="C131" s="70">
        <v>25746.26</v>
      </c>
    </row>
    <row r="132" spans="1:3" x14ac:dyDescent="0.25">
      <c r="A132" s="67" t="s">
        <v>41</v>
      </c>
      <c r="B132" s="67" t="s">
        <v>14</v>
      </c>
      <c r="C132" s="70">
        <v>5188.3500000000004</v>
      </c>
    </row>
    <row r="133" spans="1:3" x14ac:dyDescent="0.25">
      <c r="A133" s="67" t="s">
        <v>41</v>
      </c>
      <c r="B133" s="67" t="s">
        <v>15</v>
      </c>
      <c r="C133" s="70">
        <v>1088.3699999999999</v>
      </c>
    </row>
    <row r="134" spans="1:3" x14ac:dyDescent="0.25">
      <c r="A134" s="67" t="s">
        <v>41</v>
      </c>
      <c r="B134" s="67" t="s">
        <v>16</v>
      </c>
      <c r="C134" s="70">
        <v>1105.56</v>
      </c>
    </row>
    <row r="135" spans="1:3" x14ac:dyDescent="0.25">
      <c r="A135" s="67" t="s">
        <v>41</v>
      </c>
      <c r="B135" s="67" t="s">
        <v>18</v>
      </c>
      <c r="C135" s="70">
        <v>12469.56</v>
      </c>
    </row>
    <row r="136" spans="1:3" x14ac:dyDescent="0.25">
      <c r="A136" s="67" t="s">
        <v>41</v>
      </c>
      <c r="B136" s="67" t="s">
        <v>20</v>
      </c>
      <c r="C136" s="70">
        <v>10285.06</v>
      </c>
    </row>
    <row r="137" spans="1:3" x14ac:dyDescent="0.25">
      <c r="A137" s="67" t="s">
        <v>42</v>
      </c>
      <c r="B137" s="67" t="s">
        <v>27</v>
      </c>
      <c r="C137" s="70">
        <v>8191.19</v>
      </c>
    </row>
    <row r="138" spans="1:3" x14ac:dyDescent="0.25">
      <c r="A138" s="67" t="s">
        <v>42</v>
      </c>
      <c r="B138" s="67" t="s">
        <v>22</v>
      </c>
      <c r="C138" s="70">
        <v>0</v>
      </c>
    </row>
    <row r="139" spans="1:3" x14ac:dyDescent="0.25">
      <c r="A139" s="67" t="s">
        <v>42</v>
      </c>
      <c r="B139" s="67" t="s">
        <v>12</v>
      </c>
      <c r="C139" s="70">
        <v>5636.37</v>
      </c>
    </row>
    <row r="140" spans="1:3" x14ac:dyDescent="0.25">
      <c r="A140" s="67" t="s">
        <v>42</v>
      </c>
      <c r="B140" s="67" t="s">
        <v>13</v>
      </c>
      <c r="C140" s="70">
        <v>25049.43</v>
      </c>
    </row>
    <row r="141" spans="1:3" x14ac:dyDescent="0.25">
      <c r="A141" s="67" t="s">
        <v>42</v>
      </c>
      <c r="B141" s="67" t="s">
        <v>14</v>
      </c>
      <c r="C141" s="70">
        <v>5257.2</v>
      </c>
    </row>
    <row r="142" spans="1:3" x14ac:dyDescent="0.25">
      <c r="A142" s="67" t="s">
        <v>42</v>
      </c>
      <c r="B142" s="67" t="s">
        <v>15</v>
      </c>
      <c r="C142" s="70">
        <v>1100.9100000000001</v>
      </c>
    </row>
    <row r="143" spans="1:3" x14ac:dyDescent="0.25">
      <c r="A143" s="67" t="s">
        <v>42</v>
      </c>
      <c r="B143" s="67" t="s">
        <v>16</v>
      </c>
      <c r="C143" s="70">
        <v>1120.68</v>
      </c>
    </row>
    <row r="144" spans="1:3" x14ac:dyDescent="0.25">
      <c r="A144" s="67" t="s">
        <v>42</v>
      </c>
      <c r="B144" s="67" t="s">
        <v>18</v>
      </c>
      <c r="C144" s="70">
        <v>16253.98</v>
      </c>
    </row>
    <row r="145" spans="1:3" x14ac:dyDescent="0.25">
      <c r="A145" s="67" t="s">
        <v>42</v>
      </c>
      <c r="B145" s="67" t="s">
        <v>20</v>
      </c>
      <c r="C145" s="70">
        <v>10435.81</v>
      </c>
    </row>
    <row r="146" spans="1:3" x14ac:dyDescent="0.25">
      <c r="A146" s="67" t="s">
        <v>43</v>
      </c>
      <c r="B146" s="67" t="s">
        <v>27</v>
      </c>
      <c r="C146" s="70">
        <v>8254.61</v>
      </c>
    </row>
    <row r="147" spans="1:3" x14ac:dyDescent="0.25">
      <c r="A147" s="67" t="s">
        <v>43</v>
      </c>
      <c r="B147" s="67" t="s">
        <v>22</v>
      </c>
      <c r="C147" s="70">
        <v>0</v>
      </c>
    </row>
    <row r="148" spans="1:3" x14ac:dyDescent="0.25">
      <c r="A148" s="67" t="s">
        <v>43</v>
      </c>
      <c r="B148" s="67" t="s">
        <v>12</v>
      </c>
      <c r="C148" s="70">
        <v>5686.59</v>
      </c>
    </row>
    <row r="149" spans="1:3" x14ac:dyDescent="0.25">
      <c r="A149" s="67" t="s">
        <v>43</v>
      </c>
      <c r="B149" s="67" t="s">
        <v>13</v>
      </c>
      <c r="C149" s="70">
        <v>25256.41</v>
      </c>
    </row>
    <row r="150" spans="1:3" x14ac:dyDescent="0.25">
      <c r="A150" s="67" t="s">
        <v>43</v>
      </c>
      <c r="B150" s="67" t="s">
        <v>14</v>
      </c>
      <c r="C150" s="70">
        <v>5299.56</v>
      </c>
    </row>
    <row r="151" spans="1:3" x14ac:dyDescent="0.25">
      <c r="A151" s="67" t="s">
        <v>43</v>
      </c>
      <c r="B151" s="67" t="s">
        <v>15</v>
      </c>
      <c r="C151" s="70">
        <v>1106.6600000000001</v>
      </c>
    </row>
    <row r="152" spans="1:3" x14ac:dyDescent="0.25">
      <c r="A152" s="67" t="s">
        <v>43</v>
      </c>
      <c r="B152" s="67" t="s">
        <v>16</v>
      </c>
      <c r="C152" s="70">
        <v>1127.6199999999999</v>
      </c>
    </row>
    <row r="153" spans="1:3" x14ac:dyDescent="0.25">
      <c r="A153" s="67" t="s">
        <v>43</v>
      </c>
      <c r="B153" s="67" t="s">
        <v>18</v>
      </c>
      <c r="C153" s="70">
        <v>16379.89</v>
      </c>
    </row>
    <row r="154" spans="1:3" x14ac:dyDescent="0.25">
      <c r="A154" s="67" t="s">
        <v>43</v>
      </c>
      <c r="B154" s="67" t="s">
        <v>20</v>
      </c>
      <c r="C154" s="70">
        <v>10539.85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4FF15-8F14-43CA-B7DC-AC6BA58C149F}">
  <dimension ref="A1:K20"/>
  <sheetViews>
    <sheetView zoomScale="118" zoomScaleNormal="118" workbookViewId="0">
      <pane ySplit="1" topLeftCell="A2" activePane="bottomLeft" state="frozen"/>
      <selection pane="bottomLeft" activeCell="F21" sqref="F21"/>
    </sheetView>
  </sheetViews>
  <sheetFormatPr defaultRowHeight="15" x14ac:dyDescent="0.25"/>
  <cols>
    <col min="1" max="1" width="11.140625" bestFit="1" customWidth="1"/>
    <col min="2" max="2" width="12.28515625" bestFit="1" customWidth="1"/>
    <col min="3" max="3" width="13.85546875" bestFit="1" customWidth="1"/>
    <col min="4" max="4" width="12.5703125" bestFit="1" customWidth="1"/>
    <col min="5" max="5" width="18.28515625" bestFit="1" customWidth="1"/>
    <col min="6" max="6" width="12.42578125" bestFit="1" customWidth="1"/>
    <col min="7" max="7" width="11.5703125" bestFit="1" customWidth="1"/>
    <col min="8" max="8" width="11.42578125" bestFit="1" customWidth="1"/>
    <col min="9" max="9" width="15.5703125" bestFit="1" customWidth="1"/>
    <col min="10" max="10" width="13.28515625" bestFit="1" customWidth="1"/>
    <col min="11" max="11" width="11.140625" bestFit="1" customWidth="1"/>
  </cols>
  <sheetData>
    <row r="1" spans="1:11" s="1" customFormat="1" x14ac:dyDescent="0.25">
      <c r="A1" s="64" t="s">
        <v>0</v>
      </c>
      <c r="B1" s="64" t="s">
        <v>21</v>
      </c>
      <c r="C1" s="64" t="s">
        <v>22</v>
      </c>
      <c r="D1" s="63" t="s">
        <v>12</v>
      </c>
      <c r="E1" s="63" t="s">
        <v>13</v>
      </c>
      <c r="F1" s="63" t="s">
        <v>14</v>
      </c>
      <c r="G1" s="63" t="s">
        <v>15</v>
      </c>
      <c r="H1" s="63" t="s">
        <v>16</v>
      </c>
      <c r="I1" s="63" t="s">
        <v>18</v>
      </c>
      <c r="J1" s="63" t="s">
        <v>20</v>
      </c>
    </row>
    <row r="2" spans="1:11" s="1" customFormat="1" x14ac:dyDescent="0.25">
      <c r="A2" s="65">
        <v>45596</v>
      </c>
      <c r="B2" s="4">
        <v>42255.71</v>
      </c>
      <c r="C2" s="41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</row>
    <row r="3" spans="1:11" s="1" customFormat="1" x14ac:dyDescent="0.25">
      <c r="A3" s="65">
        <v>45626</v>
      </c>
      <c r="B3" s="4">
        <v>42589.29</v>
      </c>
      <c r="C3" s="41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</row>
    <row r="4" spans="1:11" s="1" customFormat="1" x14ac:dyDescent="0.25">
      <c r="A4" s="65">
        <v>45657</v>
      </c>
      <c r="B4" s="4">
        <v>43913.42</v>
      </c>
      <c r="C4" s="4">
        <v>1007.96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</row>
    <row r="5" spans="1:11" s="1" customFormat="1" x14ac:dyDescent="0.25">
      <c r="A5" s="65">
        <v>45688</v>
      </c>
      <c r="B5" s="4">
        <v>44285.960000000006</v>
      </c>
      <c r="C5" s="4">
        <v>3032.8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</row>
    <row r="6" spans="1:11" s="1" customFormat="1" x14ac:dyDescent="0.25">
      <c r="A6" s="65">
        <v>45716</v>
      </c>
      <c r="B6" s="4">
        <v>44648.94</v>
      </c>
      <c r="C6" s="4">
        <v>5075.7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 spans="1:11" s="1" customFormat="1" x14ac:dyDescent="0.25">
      <c r="A7" s="65">
        <v>45747</v>
      </c>
      <c r="B7" s="4">
        <v>48042.96</v>
      </c>
      <c r="C7" s="4">
        <v>5119.66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</row>
    <row r="8" spans="1:11" s="1" customFormat="1" x14ac:dyDescent="0.25">
      <c r="A8" s="65">
        <v>45777</v>
      </c>
      <c r="B8" s="4">
        <v>50512.86</v>
      </c>
      <c r="C8" s="20">
        <v>6177.3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</row>
    <row r="9" spans="1:11" s="1" customFormat="1" x14ac:dyDescent="0.25">
      <c r="A9" s="65">
        <v>45808</v>
      </c>
      <c r="B9" s="4">
        <v>18429.43</v>
      </c>
      <c r="C9" s="4">
        <v>6243.53</v>
      </c>
      <c r="D9" s="4">
        <v>5059.07</v>
      </c>
      <c r="E9" s="4">
        <v>23981.82</v>
      </c>
      <c r="F9" s="4">
        <v>4766.92</v>
      </c>
      <c r="G9" s="4">
        <v>1007.2</v>
      </c>
      <c r="H9" s="4">
        <v>1008.54</v>
      </c>
      <c r="I9" s="4">
        <v>0</v>
      </c>
      <c r="J9" s="4">
        <v>0</v>
      </c>
    </row>
    <row r="10" spans="1:11" s="1" customFormat="1" x14ac:dyDescent="0.25">
      <c r="A10" s="65">
        <v>45838</v>
      </c>
      <c r="B10" s="4">
        <v>18826.84</v>
      </c>
      <c r="C10" s="4">
        <v>6302.02</v>
      </c>
      <c r="D10" s="4">
        <v>5118.7</v>
      </c>
      <c r="E10" s="4">
        <v>24233.47</v>
      </c>
      <c r="F10" s="4">
        <v>4818.57</v>
      </c>
      <c r="G10" s="4">
        <v>1017.11</v>
      </c>
      <c r="H10" s="4">
        <v>1020.31</v>
      </c>
      <c r="I10" s="4">
        <v>0</v>
      </c>
      <c r="J10" s="4">
        <v>0</v>
      </c>
    </row>
    <row r="11" spans="1:11" s="1" customFormat="1" x14ac:dyDescent="0.25">
      <c r="A11" s="65">
        <v>45869</v>
      </c>
      <c r="B11" s="4">
        <v>19065.47</v>
      </c>
      <c r="C11" s="4">
        <v>6374.33</v>
      </c>
      <c r="D11" s="4">
        <v>5193.87</v>
      </c>
      <c r="E11" s="4">
        <v>24550.13</v>
      </c>
      <c r="F11" s="4">
        <v>4882.5</v>
      </c>
      <c r="G11" s="4">
        <v>1029.9100000000001</v>
      </c>
      <c r="H11" s="4">
        <v>1035.54</v>
      </c>
      <c r="I11" s="4">
        <v>3000</v>
      </c>
      <c r="J11" s="4">
        <v>0</v>
      </c>
    </row>
    <row r="12" spans="1:11" s="1" customFormat="1" x14ac:dyDescent="0.25">
      <c r="A12" s="65">
        <v>45900</v>
      </c>
      <c r="B12" s="4">
        <v>19286</v>
      </c>
      <c r="C12" s="4">
        <v>6441.08</v>
      </c>
      <c r="D12" s="4">
        <v>5263.47</v>
      </c>
      <c r="E12" s="4">
        <v>24836.46</v>
      </c>
      <c r="F12" s="4">
        <v>4941.62</v>
      </c>
      <c r="G12" s="4">
        <v>1041.23</v>
      </c>
      <c r="H12" s="4">
        <v>1049.05</v>
      </c>
      <c r="I12" s="4">
        <v>3034.92</v>
      </c>
      <c r="J12" s="4">
        <v>0</v>
      </c>
    </row>
    <row r="13" spans="1:11" s="1" customFormat="1" x14ac:dyDescent="0.25">
      <c r="A13" s="65">
        <v>45930</v>
      </c>
      <c r="B13" s="4">
        <v>19519.78</v>
      </c>
      <c r="C13" s="4">
        <v>6511.77</v>
      </c>
      <c r="D13" s="4">
        <v>5337.36</v>
      </c>
      <c r="E13" s="4">
        <v>25140.26</v>
      </c>
      <c r="F13" s="4">
        <v>5004.33</v>
      </c>
      <c r="G13" s="4">
        <v>1053.23</v>
      </c>
      <c r="H13" s="4">
        <v>1063.3900000000001</v>
      </c>
      <c r="I13" s="4">
        <v>6105.2</v>
      </c>
      <c r="J13" s="4">
        <v>0</v>
      </c>
    </row>
    <row r="14" spans="1:11" s="1" customFormat="1" x14ac:dyDescent="0.25">
      <c r="A14" s="65">
        <v>45961</v>
      </c>
      <c r="B14" s="4">
        <v>8410.74</v>
      </c>
      <c r="C14" s="4">
        <v>6586.5</v>
      </c>
      <c r="D14" s="4">
        <v>5415.7350000000006</v>
      </c>
      <c r="E14" s="4">
        <v>25452.02</v>
      </c>
      <c r="F14" s="4">
        <v>5070.7550000000001</v>
      </c>
      <c r="G14" s="4">
        <v>1065.93</v>
      </c>
      <c r="H14" s="4">
        <v>1078.5999999999999</v>
      </c>
      <c r="I14" s="4">
        <v>9218.01</v>
      </c>
      <c r="J14" s="4">
        <v>10016.549999999999</v>
      </c>
      <c r="K14" s="40"/>
    </row>
    <row r="15" spans="1:11" s="1" customFormat="1" x14ac:dyDescent="0.25">
      <c r="A15" s="65">
        <v>45991</v>
      </c>
      <c r="B15" s="4">
        <v>8499.7800000000007</v>
      </c>
      <c r="C15" s="4">
        <v>6648.86</v>
      </c>
      <c r="D15" s="4">
        <v>5481.35</v>
      </c>
      <c r="E15" s="4">
        <v>25446.63</v>
      </c>
      <c r="F15" s="4">
        <v>5126.28</v>
      </c>
      <c r="G15" s="4">
        <v>1076.53</v>
      </c>
      <c r="H15" s="4">
        <v>1091.32</v>
      </c>
      <c r="I15" s="4">
        <v>10329.51</v>
      </c>
      <c r="J15" s="4">
        <v>10143.209999999999</v>
      </c>
    </row>
    <row r="16" spans="1:11" x14ac:dyDescent="0.25">
      <c r="A16" s="65">
        <v>46022</v>
      </c>
      <c r="B16" s="4">
        <v>8597.92</v>
      </c>
      <c r="C16" s="4">
        <v>6718.49</v>
      </c>
      <c r="D16" s="4">
        <v>5554.79</v>
      </c>
      <c r="E16" s="4">
        <v>25746.26</v>
      </c>
      <c r="F16" s="4">
        <v>5188.3500000000004</v>
      </c>
      <c r="G16" s="4">
        <v>1088.3699999999999</v>
      </c>
      <c r="H16" s="4">
        <v>1105.56</v>
      </c>
      <c r="I16" s="4">
        <v>12469.56</v>
      </c>
      <c r="J16" s="4">
        <v>10285.06</v>
      </c>
    </row>
    <row r="17" spans="1:10" x14ac:dyDescent="0.25">
      <c r="A17" s="65">
        <v>46053</v>
      </c>
      <c r="B17" s="4">
        <v>8191.19</v>
      </c>
      <c r="C17" s="4">
        <v>0</v>
      </c>
      <c r="D17" s="4">
        <v>5636.37</v>
      </c>
      <c r="E17" s="4">
        <v>25049.43</v>
      </c>
      <c r="F17" s="4">
        <v>5257.2</v>
      </c>
      <c r="G17" s="4">
        <v>1100.9100000000001</v>
      </c>
      <c r="H17" s="4">
        <v>1120.68</v>
      </c>
      <c r="I17" s="4">
        <v>16253.98</v>
      </c>
      <c r="J17" s="4">
        <v>10435.81</v>
      </c>
    </row>
    <row r="18" spans="1:10" x14ac:dyDescent="0.25">
      <c r="A18" s="65">
        <v>46081</v>
      </c>
      <c r="B18" s="4">
        <v>8254.61</v>
      </c>
      <c r="C18" s="4">
        <v>0</v>
      </c>
      <c r="D18" s="4">
        <v>5686.59</v>
      </c>
      <c r="E18" s="4">
        <v>25256.41</v>
      </c>
      <c r="F18" s="4">
        <v>5299.56</v>
      </c>
      <c r="G18" s="4">
        <v>1106.6600000000001</v>
      </c>
      <c r="H18" s="4">
        <v>1127.6199999999999</v>
      </c>
      <c r="I18" s="4">
        <v>16379.89</v>
      </c>
      <c r="J18" s="4">
        <v>10539.85</v>
      </c>
    </row>
    <row r="20" spans="1:10" x14ac:dyDescent="0.25">
      <c r="D20" s="60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39B7-3077-43ED-89B6-F5C36044E0A3}">
  <dimension ref="A1:L477"/>
  <sheetViews>
    <sheetView zoomScale="96" zoomScaleNormal="96" workbookViewId="0">
      <pane ySplit="1" topLeftCell="A458" activePane="bottomLeft" state="frozen"/>
      <selection pane="bottomLeft" activeCell="A474" activeCellId="14" sqref="A1:XFD1 A34:XFD34 A66:XFD66 A99:XFD99 A133:XFD133 A164:XFD164 A199:XFD199 A233:XFD233 A273:XFD273 A305:XFD305 A340:XFD340 A375:XFD375 A409:XFD409 A443:XFD443 A474:XFD474"/>
    </sheetView>
  </sheetViews>
  <sheetFormatPr defaultColWidth="8.85546875" defaultRowHeight="15" x14ac:dyDescent="0.25"/>
  <cols>
    <col min="1" max="1" width="12.28515625" style="1" bestFit="1" customWidth="1"/>
    <col min="2" max="2" width="11.42578125" style="1" bestFit="1" customWidth="1"/>
    <col min="3" max="3" width="12.7109375" style="1" bestFit="1" customWidth="1"/>
    <col min="4" max="4" width="11" style="1" bestFit="1" customWidth="1"/>
    <col min="5" max="5" width="12.7109375" style="27" bestFit="1" customWidth="1"/>
    <col min="6" max="6" width="16.85546875" style="1" bestFit="1" customWidth="1"/>
    <col min="7" max="7" width="19.42578125" style="1" bestFit="1" customWidth="1"/>
    <col min="8" max="8" width="18.5703125" style="1" bestFit="1" customWidth="1"/>
    <col min="9" max="9" width="15.140625" style="1" bestFit="1" customWidth="1"/>
    <col min="10" max="10" width="21.42578125" style="1" customWidth="1"/>
    <col min="11" max="11" width="20.7109375" style="1" customWidth="1"/>
    <col min="12" max="12" width="11" style="1" bestFit="1" customWidth="1"/>
    <col min="13" max="16384" width="8.85546875" style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10</v>
      </c>
      <c r="E1" s="2" t="s">
        <v>17</v>
      </c>
      <c r="F1" s="2" t="s">
        <v>4</v>
      </c>
      <c r="G1" s="2" t="s">
        <v>5</v>
      </c>
      <c r="H1" s="2" t="s">
        <v>9</v>
      </c>
      <c r="I1" s="2" t="s">
        <v>3</v>
      </c>
      <c r="K1" s="35" t="s">
        <v>11</v>
      </c>
    </row>
    <row r="2" spans="1:11" x14ac:dyDescent="0.25">
      <c r="A2" s="10">
        <v>45565</v>
      </c>
      <c r="B2" s="11">
        <v>1105.49</v>
      </c>
      <c r="C2" s="11">
        <v>40332.89</v>
      </c>
      <c r="D2" s="11"/>
      <c r="E2" s="34">
        <f>SUM(B2:D2)</f>
        <v>41438.379999999997</v>
      </c>
      <c r="F2" s="11"/>
      <c r="G2" s="11"/>
      <c r="H2" s="11"/>
      <c r="I2" s="11"/>
      <c r="K2" s="6">
        <v>14981.419999999998</v>
      </c>
    </row>
    <row r="3" spans="1:11" x14ac:dyDescent="0.25">
      <c r="A3" s="3">
        <v>45566</v>
      </c>
      <c r="B3" s="4">
        <v>1105.83</v>
      </c>
      <c r="C3" s="4">
        <v>40346.04</v>
      </c>
      <c r="D3" s="4"/>
      <c r="E3" s="36">
        <f>SUM(B3:D3)</f>
        <v>41451.870000000003</v>
      </c>
      <c r="F3" s="4">
        <f t="shared" ref="F3:F17" si="0">B3-B2</f>
        <v>0.33999999999991815</v>
      </c>
      <c r="G3" s="4">
        <f t="shared" ref="G3:G17" si="1">C3-C2</f>
        <v>13.150000000001455</v>
      </c>
      <c r="H3" s="4"/>
      <c r="I3" s="4">
        <f t="shared" ref="I3:I17" si="2">F3+G3</f>
        <v>13.490000000001373</v>
      </c>
      <c r="J3" s="40"/>
    </row>
    <row r="4" spans="1:11" x14ac:dyDescent="0.25">
      <c r="A4" s="3">
        <v>45567</v>
      </c>
      <c r="B4" s="4">
        <v>1106.2</v>
      </c>
      <c r="C4" s="4">
        <v>40361.9</v>
      </c>
      <c r="D4" s="4"/>
      <c r="E4" s="36">
        <f t="shared" ref="E4:E66" si="3">SUM(B4:D4)</f>
        <v>41468.1</v>
      </c>
      <c r="F4" s="4">
        <f t="shared" si="0"/>
        <v>0.37000000000011823</v>
      </c>
      <c r="G4" s="4">
        <f t="shared" si="1"/>
        <v>15.860000000000582</v>
      </c>
      <c r="H4" s="4"/>
      <c r="I4" s="4">
        <f t="shared" si="2"/>
        <v>16.2300000000007</v>
      </c>
      <c r="J4" s="40"/>
    </row>
    <row r="5" spans="1:11" x14ac:dyDescent="0.25">
      <c r="A5" s="3">
        <v>45568</v>
      </c>
      <c r="B5" s="4">
        <v>1106.58</v>
      </c>
      <c r="C5" s="4">
        <v>40375.129999999997</v>
      </c>
      <c r="D5" s="4"/>
      <c r="E5" s="36">
        <f t="shared" si="3"/>
        <v>41481.71</v>
      </c>
      <c r="F5" s="4">
        <f t="shared" si="0"/>
        <v>0.37999999999988177</v>
      </c>
      <c r="G5" s="4">
        <f t="shared" si="1"/>
        <v>13.229999999995925</v>
      </c>
      <c r="H5" s="4"/>
      <c r="I5" s="4">
        <f t="shared" si="2"/>
        <v>13.609999999995807</v>
      </c>
      <c r="J5" s="40"/>
    </row>
    <row r="6" spans="1:11" x14ac:dyDescent="0.25">
      <c r="A6" s="3">
        <v>45569</v>
      </c>
      <c r="B6" s="4">
        <v>1106.96</v>
      </c>
      <c r="C6" s="4">
        <v>40388.35</v>
      </c>
      <c r="D6" s="4"/>
      <c r="E6" s="36">
        <f t="shared" si="3"/>
        <v>41495.31</v>
      </c>
      <c r="F6" s="4">
        <f t="shared" si="0"/>
        <v>0.38000000000010914</v>
      </c>
      <c r="G6" s="4">
        <f t="shared" si="1"/>
        <v>13.220000000001164</v>
      </c>
      <c r="H6" s="4"/>
      <c r="I6" s="4">
        <f t="shared" si="2"/>
        <v>13.600000000001273</v>
      </c>
      <c r="J6" s="40"/>
    </row>
    <row r="7" spans="1:11" x14ac:dyDescent="0.25">
      <c r="A7" s="3">
        <v>45570</v>
      </c>
      <c r="B7" s="4">
        <v>1107.55</v>
      </c>
      <c r="C7" s="4">
        <v>40401.599999999999</v>
      </c>
      <c r="D7" s="4"/>
      <c r="E7" s="36">
        <f t="shared" si="3"/>
        <v>41509.15</v>
      </c>
      <c r="F7" s="4">
        <f t="shared" si="0"/>
        <v>0.58999999999991815</v>
      </c>
      <c r="G7" s="4">
        <f t="shared" si="1"/>
        <v>13.25</v>
      </c>
      <c r="H7" s="4"/>
      <c r="I7" s="4">
        <f t="shared" si="2"/>
        <v>13.839999999999918</v>
      </c>
      <c r="J7" s="40"/>
    </row>
    <row r="8" spans="1:11" x14ac:dyDescent="0.25">
      <c r="A8" s="3">
        <v>45571</v>
      </c>
      <c r="B8" s="4">
        <v>1107.55</v>
      </c>
      <c r="C8" s="4">
        <v>40401.599999999999</v>
      </c>
      <c r="D8" s="4"/>
      <c r="E8" s="36">
        <f t="shared" si="3"/>
        <v>41509.15</v>
      </c>
      <c r="F8" s="4">
        <f t="shared" si="0"/>
        <v>0</v>
      </c>
      <c r="G8" s="4">
        <f t="shared" si="1"/>
        <v>0</v>
      </c>
      <c r="H8" s="4"/>
      <c r="I8" s="4">
        <f t="shared" si="2"/>
        <v>0</v>
      </c>
      <c r="J8" s="40"/>
    </row>
    <row r="9" spans="1:11" x14ac:dyDescent="0.25">
      <c r="A9" s="3">
        <v>45572</v>
      </c>
      <c r="B9" s="4">
        <v>1107.55</v>
      </c>
      <c r="C9" s="4">
        <v>40401.599999999999</v>
      </c>
      <c r="D9" s="4"/>
      <c r="E9" s="36">
        <f t="shared" si="3"/>
        <v>41509.15</v>
      </c>
      <c r="F9" s="4">
        <f t="shared" si="0"/>
        <v>0</v>
      </c>
      <c r="G9" s="4">
        <f t="shared" si="1"/>
        <v>0</v>
      </c>
      <c r="H9" s="4"/>
      <c r="I9" s="4">
        <f t="shared" si="2"/>
        <v>0</v>
      </c>
      <c r="J9" s="40"/>
    </row>
    <row r="10" spans="1:11" x14ac:dyDescent="0.25">
      <c r="A10" s="3">
        <v>45573</v>
      </c>
      <c r="B10" s="4">
        <v>1107.96</v>
      </c>
      <c r="C10" s="4">
        <v>40414.82</v>
      </c>
      <c r="D10" s="4"/>
      <c r="E10" s="36">
        <f t="shared" si="3"/>
        <v>41522.78</v>
      </c>
      <c r="F10" s="4">
        <f t="shared" si="0"/>
        <v>0.41000000000008185</v>
      </c>
      <c r="G10" s="4">
        <f t="shared" si="1"/>
        <v>13.220000000001164</v>
      </c>
      <c r="H10" s="4"/>
      <c r="I10" s="4">
        <f t="shared" si="2"/>
        <v>13.630000000001246</v>
      </c>
      <c r="J10" s="40"/>
    </row>
    <row r="11" spans="1:11" x14ac:dyDescent="0.25">
      <c r="A11" s="3">
        <v>45574</v>
      </c>
      <c r="B11" s="4">
        <v>1108.42</v>
      </c>
      <c r="C11" s="4">
        <v>40428.06</v>
      </c>
      <c r="D11" s="4"/>
      <c r="E11" s="36">
        <f t="shared" si="3"/>
        <v>41536.479999999996</v>
      </c>
      <c r="F11" s="4">
        <f t="shared" si="0"/>
        <v>0.46000000000003638</v>
      </c>
      <c r="G11" s="4">
        <f t="shared" si="1"/>
        <v>13.239999999997963</v>
      </c>
      <c r="H11" s="4"/>
      <c r="I11" s="4">
        <f t="shared" si="2"/>
        <v>13.699999999997999</v>
      </c>
      <c r="J11" s="40"/>
    </row>
    <row r="12" spans="1:11" x14ac:dyDescent="0.25">
      <c r="A12" s="3">
        <v>45575</v>
      </c>
      <c r="B12" s="4">
        <v>1108.8399999999999</v>
      </c>
      <c r="C12" s="4">
        <v>40441.33</v>
      </c>
      <c r="D12" s="4"/>
      <c r="E12" s="36">
        <f t="shared" si="3"/>
        <v>41550.17</v>
      </c>
      <c r="F12" s="4">
        <f t="shared" si="0"/>
        <v>0.41999999999984539</v>
      </c>
      <c r="G12" s="4">
        <f t="shared" si="1"/>
        <v>13.270000000004075</v>
      </c>
      <c r="H12" s="4"/>
      <c r="I12" s="4">
        <f t="shared" si="2"/>
        <v>13.69000000000392</v>
      </c>
      <c r="J12" s="40"/>
    </row>
    <row r="13" spans="1:11" x14ac:dyDescent="0.25">
      <c r="A13" s="3">
        <v>45576</v>
      </c>
      <c r="B13" s="4">
        <v>1109.27</v>
      </c>
      <c r="C13" s="4">
        <v>40454.559999999998</v>
      </c>
      <c r="D13" s="4"/>
      <c r="E13" s="36">
        <f t="shared" si="3"/>
        <v>41563.829999999994</v>
      </c>
      <c r="F13" s="4">
        <f t="shared" si="0"/>
        <v>0.43000000000006366</v>
      </c>
      <c r="G13" s="4">
        <f t="shared" si="1"/>
        <v>13.229999999995925</v>
      </c>
      <c r="H13" s="4"/>
      <c r="I13" s="4">
        <f t="shared" si="2"/>
        <v>13.659999999995989</v>
      </c>
      <c r="J13" s="40"/>
    </row>
    <row r="14" spans="1:11" x14ac:dyDescent="0.25">
      <c r="A14" s="3">
        <v>45577</v>
      </c>
      <c r="B14" s="4">
        <v>1109.6099999999999</v>
      </c>
      <c r="C14" s="4">
        <v>40467.82</v>
      </c>
      <c r="D14" s="4"/>
      <c r="E14" s="36">
        <f t="shared" si="3"/>
        <v>41577.43</v>
      </c>
      <c r="F14" s="4">
        <f t="shared" si="0"/>
        <v>0.33999999999991815</v>
      </c>
      <c r="G14" s="4">
        <f t="shared" si="1"/>
        <v>13.260000000002037</v>
      </c>
      <c r="H14" s="4"/>
      <c r="I14" s="4">
        <f t="shared" si="2"/>
        <v>13.600000000001955</v>
      </c>
      <c r="J14" s="40"/>
    </row>
    <row r="15" spans="1:11" x14ac:dyDescent="0.25">
      <c r="A15" s="3">
        <v>45578</v>
      </c>
      <c r="B15" s="4">
        <v>1109.6099999999999</v>
      </c>
      <c r="C15" s="4">
        <v>40467.82</v>
      </c>
      <c r="D15" s="4"/>
      <c r="E15" s="36">
        <f t="shared" si="3"/>
        <v>41577.43</v>
      </c>
      <c r="F15" s="4">
        <f t="shared" si="0"/>
        <v>0</v>
      </c>
      <c r="G15" s="4">
        <f t="shared" si="1"/>
        <v>0</v>
      </c>
      <c r="H15" s="4"/>
      <c r="I15" s="4">
        <f t="shared" si="2"/>
        <v>0</v>
      </c>
      <c r="J15" s="40"/>
    </row>
    <row r="16" spans="1:11" x14ac:dyDescent="0.25">
      <c r="A16" s="3">
        <v>45579</v>
      </c>
      <c r="B16" s="4">
        <v>1109.6099999999999</v>
      </c>
      <c r="C16" s="4">
        <v>40467.82</v>
      </c>
      <c r="D16" s="4"/>
      <c r="E16" s="36">
        <f t="shared" si="3"/>
        <v>41577.43</v>
      </c>
      <c r="F16" s="4">
        <f t="shared" si="0"/>
        <v>0</v>
      </c>
      <c r="G16" s="4">
        <f t="shared" si="1"/>
        <v>0</v>
      </c>
      <c r="H16" s="4"/>
      <c r="I16" s="4">
        <f t="shared" si="2"/>
        <v>0</v>
      </c>
      <c r="J16" s="40"/>
    </row>
    <row r="17" spans="1:10" x14ac:dyDescent="0.25">
      <c r="A17" s="3">
        <v>45580</v>
      </c>
      <c r="B17" s="4">
        <v>1109.95</v>
      </c>
      <c r="C17" s="4">
        <v>40481.050000000003</v>
      </c>
      <c r="D17" s="4"/>
      <c r="E17" s="36">
        <f t="shared" si="3"/>
        <v>41591</v>
      </c>
      <c r="F17" s="4">
        <f t="shared" si="0"/>
        <v>0.34000000000014552</v>
      </c>
      <c r="G17" s="4">
        <f t="shared" si="1"/>
        <v>13.230000000003201</v>
      </c>
      <c r="H17" s="4"/>
      <c r="I17" s="4">
        <f t="shared" si="2"/>
        <v>13.570000000003347</v>
      </c>
      <c r="J17" s="40"/>
    </row>
    <row r="18" spans="1:10" x14ac:dyDescent="0.25">
      <c r="A18" s="14" t="s">
        <v>8</v>
      </c>
      <c r="B18" s="15">
        <v>1609.95</v>
      </c>
      <c r="C18" s="15">
        <v>40481.050000000003</v>
      </c>
      <c r="D18" s="16"/>
      <c r="E18" s="15">
        <f t="shared" si="3"/>
        <v>42091</v>
      </c>
      <c r="F18" s="16"/>
      <c r="G18" s="16"/>
      <c r="H18" s="16"/>
      <c r="I18" s="15"/>
      <c r="J18" s="40"/>
    </row>
    <row r="19" spans="1:10" x14ac:dyDescent="0.25">
      <c r="A19" s="3">
        <v>45581</v>
      </c>
      <c r="B19" s="4">
        <v>1610.31</v>
      </c>
      <c r="C19" s="7">
        <v>40494.339999999997</v>
      </c>
      <c r="D19" s="7"/>
      <c r="E19" s="36">
        <f t="shared" si="3"/>
        <v>42104.649999999994</v>
      </c>
      <c r="F19" s="4">
        <f t="shared" ref="F19:F34" si="4">B19-B18</f>
        <v>0.35999999999989996</v>
      </c>
      <c r="G19" s="4">
        <f t="shared" ref="G19:G34" si="5">C19-C18</f>
        <v>13.289999999993597</v>
      </c>
      <c r="H19" s="4"/>
      <c r="I19" s="4">
        <f>F19+G19</f>
        <v>13.649999999993497</v>
      </c>
      <c r="J19" s="40"/>
    </row>
    <row r="20" spans="1:10" x14ac:dyDescent="0.25">
      <c r="A20" s="3">
        <v>45582</v>
      </c>
      <c r="B20" s="4">
        <v>1610.67</v>
      </c>
      <c r="C20" s="7">
        <v>40507.58</v>
      </c>
      <c r="D20" s="7"/>
      <c r="E20" s="36">
        <f t="shared" si="3"/>
        <v>42118.25</v>
      </c>
      <c r="F20" s="4">
        <f t="shared" si="4"/>
        <v>0.36000000000012733</v>
      </c>
      <c r="G20" s="4">
        <f t="shared" si="5"/>
        <v>13.240000000005239</v>
      </c>
      <c r="H20" s="4"/>
      <c r="I20" s="4">
        <f>F20+G20</f>
        <v>13.600000000005366</v>
      </c>
      <c r="J20" s="40"/>
    </row>
    <row r="21" spans="1:10" x14ac:dyDescent="0.25">
      <c r="A21" s="3">
        <v>45583</v>
      </c>
      <c r="B21" s="4">
        <v>1611.03</v>
      </c>
      <c r="C21" s="7">
        <v>40520.9</v>
      </c>
      <c r="D21" s="7"/>
      <c r="E21" s="36">
        <f t="shared" si="3"/>
        <v>42131.93</v>
      </c>
      <c r="F21" s="4">
        <f t="shared" si="4"/>
        <v>0.35999999999989996</v>
      </c>
      <c r="G21" s="4">
        <f t="shared" si="5"/>
        <v>13.319999999999709</v>
      </c>
      <c r="H21" s="4"/>
      <c r="I21" s="4">
        <f>F21+G21</f>
        <v>13.679999999999609</v>
      </c>
      <c r="J21" s="40"/>
    </row>
    <row r="22" spans="1:10" x14ac:dyDescent="0.25">
      <c r="A22" s="3">
        <v>45584</v>
      </c>
      <c r="B22" s="4">
        <v>1611.46</v>
      </c>
      <c r="C22" s="7">
        <v>40534.19</v>
      </c>
      <c r="D22" s="7"/>
      <c r="E22" s="36">
        <f t="shared" si="3"/>
        <v>42145.65</v>
      </c>
      <c r="F22" s="4">
        <f t="shared" si="4"/>
        <v>0.43000000000006366</v>
      </c>
      <c r="G22" s="4">
        <f t="shared" si="5"/>
        <v>13.290000000000873</v>
      </c>
      <c r="H22" s="4"/>
      <c r="I22" s="4">
        <f>F22+G22</f>
        <v>13.720000000000937</v>
      </c>
      <c r="J22" s="40"/>
    </row>
    <row r="23" spans="1:10" x14ac:dyDescent="0.25">
      <c r="A23" s="3">
        <v>45585</v>
      </c>
      <c r="B23" s="4">
        <v>1611.46</v>
      </c>
      <c r="C23" s="7">
        <v>40534.19</v>
      </c>
      <c r="D23" s="7"/>
      <c r="E23" s="36">
        <f t="shared" si="3"/>
        <v>42145.65</v>
      </c>
      <c r="F23" s="4">
        <f t="shared" si="4"/>
        <v>0</v>
      </c>
      <c r="G23" s="4">
        <f t="shared" si="5"/>
        <v>0</v>
      </c>
      <c r="H23" s="4"/>
      <c r="I23" s="4">
        <f t="shared" ref="I23:I34" si="6">F23+G23</f>
        <v>0</v>
      </c>
      <c r="J23" s="40"/>
    </row>
    <row r="24" spans="1:10" x14ac:dyDescent="0.25">
      <c r="A24" s="3">
        <v>45586</v>
      </c>
      <c r="B24" s="4">
        <v>1611.46</v>
      </c>
      <c r="C24" s="7">
        <v>40534.19</v>
      </c>
      <c r="D24" s="7"/>
      <c r="E24" s="36">
        <f t="shared" si="3"/>
        <v>42145.65</v>
      </c>
      <c r="F24" s="4">
        <f t="shared" si="4"/>
        <v>0</v>
      </c>
      <c r="G24" s="4">
        <f t="shared" si="5"/>
        <v>0</v>
      </c>
      <c r="H24" s="4"/>
      <c r="I24" s="4">
        <f t="shared" si="6"/>
        <v>0</v>
      </c>
      <c r="J24" s="40"/>
    </row>
    <row r="25" spans="1:10" x14ac:dyDescent="0.25">
      <c r="A25" s="3">
        <v>45587</v>
      </c>
      <c r="B25" s="4">
        <v>1611.87</v>
      </c>
      <c r="C25" s="7">
        <v>40547.47</v>
      </c>
      <c r="D25" s="7"/>
      <c r="E25" s="36">
        <f t="shared" si="3"/>
        <v>42159.340000000004</v>
      </c>
      <c r="F25" s="4">
        <f t="shared" si="4"/>
        <v>0.40999999999985448</v>
      </c>
      <c r="G25" s="4">
        <f t="shared" si="5"/>
        <v>13.279999999998836</v>
      </c>
      <c r="H25" s="4"/>
      <c r="I25" s="4">
        <f t="shared" si="6"/>
        <v>13.68999999999869</v>
      </c>
      <c r="J25" s="40"/>
    </row>
    <row r="26" spans="1:10" x14ac:dyDescent="0.25">
      <c r="A26" s="3">
        <v>45588</v>
      </c>
      <c r="B26" s="4">
        <v>1612.28</v>
      </c>
      <c r="C26" s="7">
        <v>40560.720000000001</v>
      </c>
      <c r="D26" s="7"/>
      <c r="E26" s="36">
        <f t="shared" si="3"/>
        <v>42173</v>
      </c>
      <c r="F26" s="4">
        <f t="shared" si="4"/>
        <v>0.41000000000008185</v>
      </c>
      <c r="G26" s="4">
        <f t="shared" si="5"/>
        <v>13.25</v>
      </c>
      <c r="H26" s="4"/>
      <c r="I26" s="4">
        <f t="shared" si="6"/>
        <v>13.660000000000082</v>
      </c>
      <c r="J26" s="40"/>
    </row>
    <row r="27" spans="1:10" x14ac:dyDescent="0.25">
      <c r="A27" s="3">
        <v>45589</v>
      </c>
      <c r="B27" s="4">
        <v>1612.7</v>
      </c>
      <c r="C27" s="7">
        <v>40574.04</v>
      </c>
      <c r="D27" s="7"/>
      <c r="E27" s="36">
        <f t="shared" si="3"/>
        <v>42186.74</v>
      </c>
      <c r="F27" s="4">
        <f t="shared" si="4"/>
        <v>0.42000000000007276</v>
      </c>
      <c r="G27" s="4">
        <f t="shared" si="5"/>
        <v>13.319999999999709</v>
      </c>
      <c r="H27" s="4"/>
      <c r="I27" s="4">
        <f t="shared" si="6"/>
        <v>13.739999999999782</v>
      </c>
      <c r="J27" s="40"/>
    </row>
    <row r="28" spans="1:10" x14ac:dyDescent="0.25">
      <c r="A28" s="3">
        <v>45590</v>
      </c>
      <c r="B28" s="4">
        <v>1613.13</v>
      </c>
      <c r="C28" s="7">
        <v>40587.4</v>
      </c>
      <c r="D28" s="7"/>
      <c r="E28" s="36">
        <f t="shared" si="3"/>
        <v>42200.53</v>
      </c>
      <c r="F28" s="4">
        <f t="shared" si="4"/>
        <v>0.43000000000006366</v>
      </c>
      <c r="G28" s="4">
        <f t="shared" si="5"/>
        <v>13.360000000000582</v>
      </c>
      <c r="H28" s="4"/>
      <c r="I28" s="4">
        <f t="shared" si="6"/>
        <v>13.790000000000646</v>
      </c>
      <c r="J28" s="40"/>
    </row>
    <row r="29" spans="1:10" x14ac:dyDescent="0.25">
      <c r="A29" s="3">
        <v>45591</v>
      </c>
      <c r="B29" s="4">
        <v>1613.67</v>
      </c>
      <c r="C29" s="7">
        <v>40600.67</v>
      </c>
      <c r="D29" s="7"/>
      <c r="E29" s="36">
        <f t="shared" si="3"/>
        <v>42214.34</v>
      </c>
      <c r="F29" s="4">
        <f t="shared" si="4"/>
        <v>0.53999999999996362</v>
      </c>
      <c r="G29" s="4">
        <f t="shared" si="5"/>
        <v>13.269999999996799</v>
      </c>
      <c r="H29" s="4"/>
      <c r="I29" s="4">
        <f t="shared" si="6"/>
        <v>13.809999999996762</v>
      </c>
      <c r="J29" s="40"/>
    </row>
    <row r="30" spans="1:10" x14ac:dyDescent="0.25">
      <c r="A30" s="3">
        <v>45592</v>
      </c>
      <c r="B30" s="4">
        <v>1613.67</v>
      </c>
      <c r="C30" s="7">
        <v>40600.67</v>
      </c>
      <c r="D30" s="7"/>
      <c r="E30" s="36">
        <f t="shared" si="3"/>
        <v>42214.34</v>
      </c>
      <c r="F30" s="4">
        <f t="shared" si="4"/>
        <v>0</v>
      </c>
      <c r="G30" s="4">
        <f t="shared" si="5"/>
        <v>0</v>
      </c>
      <c r="H30" s="4"/>
      <c r="I30" s="4">
        <f t="shared" si="6"/>
        <v>0</v>
      </c>
      <c r="J30" s="40"/>
    </row>
    <row r="31" spans="1:10" x14ac:dyDescent="0.25">
      <c r="A31" s="3">
        <v>45593</v>
      </c>
      <c r="B31" s="4">
        <v>1613.67</v>
      </c>
      <c r="C31" s="7">
        <v>40600.67</v>
      </c>
      <c r="D31" s="7"/>
      <c r="E31" s="36">
        <f t="shared" si="3"/>
        <v>42214.34</v>
      </c>
      <c r="F31" s="4">
        <f t="shared" si="4"/>
        <v>0</v>
      </c>
      <c r="G31" s="4">
        <f t="shared" si="5"/>
        <v>0</v>
      </c>
      <c r="H31" s="4"/>
      <c r="I31" s="4">
        <f t="shared" si="6"/>
        <v>0</v>
      </c>
      <c r="J31" s="40"/>
    </row>
    <row r="32" spans="1:10" x14ac:dyDescent="0.25">
      <c r="A32" s="3">
        <v>45594</v>
      </c>
      <c r="B32" s="4">
        <v>1614.13</v>
      </c>
      <c r="C32" s="7">
        <v>40613.980000000003</v>
      </c>
      <c r="D32" s="7"/>
      <c r="E32" s="36">
        <f t="shared" si="3"/>
        <v>42228.11</v>
      </c>
      <c r="F32" s="4">
        <f t="shared" si="4"/>
        <v>0.46000000000003638</v>
      </c>
      <c r="G32" s="4">
        <f t="shared" si="5"/>
        <v>13.310000000004948</v>
      </c>
      <c r="H32" s="4"/>
      <c r="I32" s="4">
        <f t="shared" si="6"/>
        <v>13.770000000004984</v>
      </c>
      <c r="J32" s="40"/>
    </row>
    <row r="33" spans="1:10" x14ac:dyDescent="0.25">
      <c r="A33" s="3">
        <v>45595</v>
      </c>
      <c r="B33" s="4">
        <v>1614.61</v>
      </c>
      <c r="C33" s="7">
        <v>40627.29</v>
      </c>
      <c r="D33" s="7"/>
      <c r="E33" s="36">
        <f t="shared" si="3"/>
        <v>42241.9</v>
      </c>
      <c r="F33" s="4">
        <f t="shared" si="4"/>
        <v>0.47999999999979082</v>
      </c>
      <c r="G33" s="4">
        <f t="shared" si="5"/>
        <v>13.309999999997672</v>
      </c>
      <c r="H33" s="4"/>
      <c r="I33" s="4">
        <f t="shared" si="6"/>
        <v>13.789999999997463</v>
      </c>
      <c r="J33" s="40"/>
    </row>
    <row r="34" spans="1:10" x14ac:dyDescent="0.25">
      <c r="A34" s="3">
        <v>45596</v>
      </c>
      <c r="B34" s="4">
        <v>1615.1</v>
      </c>
      <c r="C34" s="7">
        <v>40640.61</v>
      </c>
      <c r="D34" s="7"/>
      <c r="E34" s="36">
        <f t="shared" si="3"/>
        <v>42255.71</v>
      </c>
      <c r="F34" s="4">
        <f t="shared" si="4"/>
        <v>0.49000000000000909</v>
      </c>
      <c r="G34" s="4">
        <f t="shared" si="5"/>
        <v>13.319999999999709</v>
      </c>
      <c r="H34" s="4"/>
      <c r="I34" s="4">
        <f t="shared" si="6"/>
        <v>13.809999999999718</v>
      </c>
      <c r="J34" s="40"/>
    </row>
    <row r="35" spans="1:10" x14ac:dyDescent="0.25">
      <c r="A35" s="5" t="s">
        <v>6</v>
      </c>
      <c r="B35" s="5"/>
      <c r="C35" s="5"/>
      <c r="D35" s="5"/>
      <c r="E35" s="5"/>
      <c r="F35" s="6">
        <f>SUM(F3:F34)</f>
        <v>9.6099999999999</v>
      </c>
      <c r="G35" s="6">
        <f t="shared" ref="G35:I35" si="7">SUM(G3:G34)</f>
        <v>307.72000000000116</v>
      </c>
      <c r="H35" s="5"/>
      <c r="I35" s="6">
        <f t="shared" si="7"/>
        <v>317.33000000000106</v>
      </c>
      <c r="J35" s="40"/>
    </row>
    <row r="36" spans="1:10" x14ac:dyDescent="0.25">
      <c r="A36" s="10">
        <v>45596</v>
      </c>
      <c r="B36" s="11">
        <v>1615.1</v>
      </c>
      <c r="C36" s="11">
        <v>40640.61</v>
      </c>
      <c r="D36" s="11"/>
      <c r="E36" s="34"/>
      <c r="F36" s="11"/>
      <c r="G36" s="11"/>
      <c r="H36" s="11"/>
      <c r="I36" s="11"/>
      <c r="J36" s="40"/>
    </row>
    <row r="37" spans="1:10" x14ac:dyDescent="0.25">
      <c r="A37" s="3">
        <v>45597</v>
      </c>
      <c r="B37" s="4">
        <v>1615.59</v>
      </c>
      <c r="C37" s="7">
        <v>40683.519999999997</v>
      </c>
      <c r="D37" s="7"/>
      <c r="E37" s="36">
        <f t="shared" si="3"/>
        <v>42299.109999999993</v>
      </c>
      <c r="F37" s="4">
        <f t="shared" ref="F37:F66" si="8">B37-B36</f>
        <v>0.49000000000000909</v>
      </c>
      <c r="G37" s="4">
        <f t="shared" ref="G37:G66" si="9">C37-C36</f>
        <v>42.909999999996217</v>
      </c>
      <c r="H37" s="4"/>
      <c r="I37" s="4">
        <f t="shared" ref="I37:I50" si="10">F37+G37</f>
        <v>43.399999999996226</v>
      </c>
      <c r="J37" s="40"/>
    </row>
    <row r="38" spans="1:10" x14ac:dyDescent="0.25">
      <c r="A38" s="3">
        <v>45598</v>
      </c>
      <c r="B38" s="4">
        <v>1616.24</v>
      </c>
      <c r="C38" s="7">
        <v>40699.56</v>
      </c>
      <c r="D38" s="7"/>
      <c r="E38" s="36">
        <f t="shared" si="3"/>
        <v>42315.799999999996</v>
      </c>
      <c r="F38" s="4">
        <f t="shared" si="8"/>
        <v>0.65000000000009095</v>
      </c>
      <c r="G38" s="4">
        <f t="shared" si="9"/>
        <v>16.040000000000873</v>
      </c>
      <c r="H38" s="4"/>
      <c r="I38" s="4">
        <f t="shared" si="10"/>
        <v>16.690000000000964</v>
      </c>
      <c r="J38" s="40"/>
    </row>
    <row r="39" spans="1:10" x14ac:dyDescent="0.25">
      <c r="A39" s="3">
        <v>45599</v>
      </c>
      <c r="B39" s="4">
        <v>1616.24</v>
      </c>
      <c r="C39" s="7">
        <v>40699.56</v>
      </c>
      <c r="D39" s="7"/>
      <c r="E39" s="36">
        <f t="shared" si="3"/>
        <v>42315.799999999996</v>
      </c>
      <c r="F39" s="4">
        <f t="shared" si="8"/>
        <v>0</v>
      </c>
      <c r="G39" s="4">
        <f t="shared" si="9"/>
        <v>0</v>
      </c>
      <c r="H39" s="4"/>
      <c r="I39" s="4">
        <f t="shared" si="10"/>
        <v>0</v>
      </c>
      <c r="J39" s="40"/>
    </row>
    <row r="40" spans="1:10" x14ac:dyDescent="0.25">
      <c r="A40" s="3">
        <v>45600</v>
      </c>
      <c r="B40" s="4">
        <v>1616.24</v>
      </c>
      <c r="C40" s="7">
        <v>40699.56</v>
      </c>
      <c r="D40" s="7"/>
      <c r="E40" s="36">
        <f t="shared" si="3"/>
        <v>42315.799999999996</v>
      </c>
      <c r="F40" s="4">
        <f t="shared" si="8"/>
        <v>0</v>
      </c>
      <c r="G40" s="4">
        <f t="shared" si="9"/>
        <v>0</v>
      </c>
      <c r="H40" s="4"/>
      <c r="I40" s="4">
        <f t="shared" si="10"/>
        <v>0</v>
      </c>
      <c r="J40" s="40"/>
    </row>
    <row r="41" spans="1:10" x14ac:dyDescent="0.25">
      <c r="A41" s="8">
        <v>45601</v>
      </c>
      <c r="B41" s="4">
        <v>1616.76</v>
      </c>
      <c r="C41" s="7">
        <v>40713.06</v>
      </c>
      <c r="D41" s="7"/>
      <c r="E41" s="36">
        <f t="shared" si="3"/>
        <v>42329.82</v>
      </c>
      <c r="F41" s="4">
        <f t="shared" si="8"/>
        <v>0.51999999999998181</v>
      </c>
      <c r="G41" s="4">
        <f t="shared" si="9"/>
        <v>13.5</v>
      </c>
      <c r="H41" s="4"/>
      <c r="I41" s="4">
        <f t="shared" si="10"/>
        <v>14.019999999999982</v>
      </c>
      <c r="J41" s="40"/>
    </row>
    <row r="42" spans="1:10" x14ac:dyDescent="0.25">
      <c r="A42" s="8">
        <v>45602</v>
      </c>
      <c r="B42" s="4">
        <v>1617.32</v>
      </c>
      <c r="C42" s="7">
        <v>40726.550000000003</v>
      </c>
      <c r="D42" s="7"/>
      <c r="E42" s="36">
        <f t="shared" si="3"/>
        <v>42343.87</v>
      </c>
      <c r="F42" s="4">
        <f t="shared" si="8"/>
        <v>0.55999999999994543</v>
      </c>
      <c r="G42" s="4">
        <f t="shared" si="9"/>
        <v>13.490000000005239</v>
      </c>
      <c r="H42" s="4"/>
      <c r="I42" s="4">
        <f t="shared" si="10"/>
        <v>14.050000000005184</v>
      </c>
      <c r="J42" s="40"/>
    </row>
    <row r="43" spans="1:10" x14ac:dyDescent="0.25">
      <c r="A43" s="8">
        <v>45603</v>
      </c>
      <c r="B43" s="4">
        <v>1617.86</v>
      </c>
      <c r="C43" s="7">
        <v>40740.050000000003</v>
      </c>
      <c r="D43" s="7"/>
      <c r="E43" s="36">
        <f t="shared" si="3"/>
        <v>42357.91</v>
      </c>
      <c r="F43" s="4">
        <f t="shared" si="8"/>
        <v>0.53999999999996362</v>
      </c>
      <c r="G43" s="4">
        <f t="shared" si="9"/>
        <v>13.5</v>
      </c>
      <c r="H43" s="4"/>
      <c r="I43" s="4">
        <f t="shared" si="10"/>
        <v>14.039999999999964</v>
      </c>
      <c r="J43" s="40"/>
    </row>
    <row r="44" spans="1:10" x14ac:dyDescent="0.25">
      <c r="A44" s="8">
        <v>45604</v>
      </c>
      <c r="B44" s="4">
        <v>1618.42</v>
      </c>
      <c r="C44" s="7">
        <v>40754.15</v>
      </c>
      <c r="D44" s="7"/>
      <c r="E44" s="36">
        <f t="shared" si="3"/>
        <v>42372.57</v>
      </c>
      <c r="F44" s="4">
        <f t="shared" si="8"/>
        <v>0.5600000000001728</v>
      </c>
      <c r="G44" s="4">
        <f t="shared" si="9"/>
        <v>14.099999999998545</v>
      </c>
      <c r="H44" s="4"/>
      <c r="I44" s="4">
        <f t="shared" si="10"/>
        <v>14.659999999998718</v>
      </c>
      <c r="J44" s="40"/>
    </row>
    <row r="45" spans="1:10" x14ac:dyDescent="0.25">
      <c r="A45" s="8">
        <v>45605</v>
      </c>
      <c r="B45" s="4">
        <v>1619.23</v>
      </c>
      <c r="C45" s="7">
        <v>40768.26</v>
      </c>
      <c r="D45" s="7"/>
      <c r="E45" s="36">
        <f t="shared" si="3"/>
        <v>42387.490000000005</v>
      </c>
      <c r="F45" s="4">
        <f t="shared" si="8"/>
        <v>0.80999999999994543</v>
      </c>
      <c r="G45" s="4">
        <f t="shared" si="9"/>
        <v>14.110000000000582</v>
      </c>
      <c r="H45" s="4"/>
      <c r="I45" s="4">
        <f t="shared" si="10"/>
        <v>14.920000000000528</v>
      </c>
      <c r="J45" s="40"/>
    </row>
    <row r="46" spans="1:10" x14ac:dyDescent="0.25">
      <c r="A46" s="3">
        <v>45606</v>
      </c>
      <c r="B46" s="4">
        <v>1619.23</v>
      </c>
      <c r="C46" s="7">
        <v>40768.26</v>
      </c>
      <c r="D46" s="7"/>
      <c r="E46" s="36">
        <f t="shared" si="3"/>
        <v>42387.490000000005</v>
      </c>
      <c r="F46" s="4">
        <f t="shared" si="8"/>
        <v>0</v>
      </c>
      <c r="G46" s="4">
        <f t="shared" si="9"/>
        <v>0</v>
      </c>
      <c r="H46" s="4"/>
      <c r="I46" s="4">
        <f t="shared" si="10"/>
        <v>0</v>
      </c>
      <c r="J46" s="40"/>
    </row>
    <row r="47" spans="1:10" x14ac:dyDescent="0.25">
      <c r="A47" s="3">
        <v>45607</v>
      </c>
      <c r="B47" s="4">
        <v>1619.23</v>
      </c>
      <c r="C47" s="7">
        <v>40768.26</v>
      </c>
      <c r="D47" s="7"/>
      <c r="E47" s="36">
        <f t="shared" si="3"/>
        <v>42387.490000000005</v>
      </c>
      <c r="F47" s="4">
        <f t="shared" si="8"/>
        <v>0</v>
      </c>
      <c r="G47" s="4">
        <f t="shared" si="9"/>
        <v>0</v>
      </c>
      <c r="H47" s="4"/>
      <c r="I47" s="4">
        <f t="shared" si="10"/>
        <v>0</v>
      </c>
      <c r="J47" s="40"/>
    </row>
    <row r="48" spans="1:10" x14ac:dyDescent="0.25">
      <c r="A48" s="8">
        <v>45608</v>
      </c>
      <c r="B48" s="4">
        <v>1619.23</v>
      </c>
      <c r="C48" s="7">
        <v>40768.26</v>
      </c>
      <c r="D48" s="7"/>
      <c r="E48" s="36">
        <f t="shared" si="3"/>
        <v>42387.490000000005</v>
      </c>
      <c r="F48" s="4">
        <f t="shared" si="8"/>
        <v>0</v>
      </c>
      <c r="G48" s="4">
        <f t="shared" si="9"/>
        <v>0</v>
      </c>
      <c r="H48" s="4"/>
      <c r="I48" s="4">
        <f t="shared" si="10"/>
        <v>0</v>
      </c>
      <c r="J48" s="40"/>
    </row>
    <row r="49" spans="1:10" x14ac:dyDescent="0.25">
      <c r="A49" s="8">
        <v>45609</v>
      </c>
      <c r="B49" s="4">
        <v>1619.23</v>
      </c>
      <c r="C49" s="7">
        <v>40768.26</v>
      </c>
      <c r="D49" s="7"/>
      <c r="E49" s="36">
        <f t="shared" si="3"/>
        <v>42387.490000000005</v>
      </c>
      <c r="F49" s="4">
        <f t="shared" si="8"/>
        <v>0</v>
      </c>
      <c r="G49" s="4">
        <f t="shared" si="9"/>
        <v>0</v>
      </c>
      <c r="H49" s="4"/>
      <c r="I49" s="4">
        <f t="shared" si="10"/>
        <v>0</v>
      </c>
      <c r="J49" s="40"/>
    </row>
    <row r="50" spans="1:10" x14ac:dyDescent="0.25">
      <c r="A50" s="8">
        <v>45610</v>
      </c>
      <c r="B50" s="4">
        <v>1621.09</v>
      </c>
      <c r="C50" s="7">
        <v>40810.58</v>
      </c>
      <c r="D50" s="7"/>
      <c r="E50" s="36">
        <f t="shared" si="3"/>
        <v>42431.67</v>
      </c>
      <c r="F50" s="4">
        <f t="shared" si="8"/>
        <v>1.8599999999999</v>
      </c>
      <c r="G50" s="4">
        <f t="shared" si="9"/>
        <v>42.319999999999709</v>
      </c>
      <c r="H50" s="4"/>
      <c r="I50" s="4">
        <f t="shared" si="10"/>
        <v>44.179999999999609</v>
      </c>
      <c r="J50" s="40"/>
    </row>
    <row r="51" spans="1:10" x14ac:dyDescent="0.25">
      <c r="A51" s="8">
        <v>45611</v>
      </c>
      <c r="B51" s="4">
        <v>1621.62</v>
      </c>
      <c r="C51" s="7">
        <v>40824.71</v>
      </c>
      <c r="D51" s="7"/>
      <c r="E51" s="36">
        <f t="shared" si="3"/>
        <v>42446.33</v>
      </c>
      <c r="F51" s="4">
        <f t="shared" si="8"/>
        <v>0.52999999999997272</v>
      </c>
      <c r="G51" s="4">
        <f t="shared" si="9"/>
        <v>14.129999999997381</v>
      </c>
      <c r="H51" s="4"/>
      <c r="I51" s="4">
        <f>F51+G51</f>
        <v>14.659999999997353</v>
      </c>
      <c r="J51" s="40"/>
    </row>
    <row r="52" spans="1:10" x14ac:dyDescent="0.25">
      <c r="A52" s="8">
        <v>45612</v>
      </c>
      <c r="B52" s="4">
        <v>1621.62</v>
      </c>
      <c r="C52" s="7">
        <v>40824.71</v>
      </c>
      <c r="D52" s="7"/>
      <c r="E52" s="36">
        <f t="shared" si="3"/>
        <v>42446.33</v>
      </c>
      <c r="F52" s="4">
        <f t="shared" si="8"/>
        <v>0</v>
      </c>
      <c r="G52" s="4">
        <f t="shared" si="9"/>
        <v>0</v>
      </c>
      <c r="H52" s="4"/>
      <c r="I52" s="4">
        <f>F52+G52</f>
        <v>0</v>
      </c>
      <c r="J52" s="40"/>
    </row>
    <row r="53" spans="1:10" x14ac:dyDescent="0.25">
      <c r="A53" s="8">
        <v>45613</v>
      </c>
      <c r="B53" s="4">
        <v>1621.62</v>
      </c>
      <c r="C53" s="7">
        <v>40824.71</v>
      </c>
      <c r="D53" s="7"/>
      <c r="E53" s="36">
        <f t="shared" si="3"/>
        <v>42446.33</v>
      </c>
      <c r="F53" s="4">
        <f t="shared" si="8"/>
        <v>0</v>
      </c>
      <c r="G53" s="4">
        <f t="shared" si="9"/>
        <v>0</v>
      </c>
      <c r="H53" s="4"/>
      <c r="I53" s="4">
        <f t="shared" ref="I53:I66" si="11">F53+G53</f>
        <v>0</v>
      </c>
      <c r="J53" s="40"/>
    </row>
    <row r="54" spans="1:10" x14ac:dyDescent="0.25">
      <c r="A54" s="8">
        <v>45614</v>
      </c>
      <c r="B54" s="4">
        <v>1621.62</v>
      </c>
      <c r="C54" s="7">
        <v>40824.71</v>
      </c>
      <c r="D54" s="7"/>
      <c r="E54" s="36">
        <f t="shared" si="3"/>
        <v>42446.33</v>
      </c>
      <c r="F54" s="4">
        <f t="shared" si="8"/>
        <v>0</v>
      </c>
      <c r="G54" s="4">
        <f t="shared" si="9"/>
        <v>0</v>
      </c>
      <c r="H54" s="4"/>
      <c r="I54" s="4">
        <f t="shared" si="11"/>
        <v>0</v>
      </c>
      <c r="J54" s="40"/>
    </row>
    <row r="55" spans="1:10" x14ac:dyDescent="0.25">
      <c r="A55" s="8">
        <v>45615</v>
      </c>
      <c r="B55" s="4">
        <v>1622.13</v>
      </c>
      <c r="C55" s="7">
        <v>40838.870000000003</v>
      </c>
      <c r="D55" s="7"/>
      <c r="E55" s="36">
        <f t="shared" si="3"/>
        <v>42461</v>
      </c>
      <c r="F55" s="4">
        <f t="shared" si="8"/>
        <v>0.51000000000021828</v>
      </c>
      <c r="G55" s="4">
        <f t="shared" si="9"/>
        <v>14.160000000003492</v>
      </c>
      <c r="H55" s="4"/>
      <c r="I55" s="4">
        <f t="shared" si="11"/>
        <v>14.670000000003711</v>
      </c>
      <c r="J55" s="40"/>
    </row>
    <row r="56" spans="1:10" x14ac:dyDescent="0.25">
      <c r="A56" s="8">
        <v>45616</v>
      </c>
      <c r="B56" s="4">
        <v>1622.67</v>
      </c>
      <c r="C56" s="7">
        <v>40853</v>
      </c>
      <c r="D56" s="7"/>
      <c r="E56" s="36">
        <f t="shared" si="3"/>
        <v>42475.67</v>
      </c>
      <c r="F56" s="4">
        <f t="shared" si="8"/>
        <v>0.53999999999996362</v>
      </c>
      <c r="G56" s="4">
        <f t="shared" si="9"/>
        <v>14.129999999997381</v>
      </c>
      <c r="H56" s="4"/>
      <c r="I56" s="4">
        <f t="shared" si="11"/>
        <v>14.669999999997344</v>
      </c>
      <c r="J56" s="40"/>
    </row>
    <row r="57" spans="1:10" x14ac:dyDescent="0.25">
      <c r="A57" s="8">
        <v>45617</v>
      </c>
      <c r="B57" s="4">
        <v>1622.67</v>
      </c>
      <c r="C57" s="7">
        <v>40853</v>
      </c>
      <c r="D57" s="7"/>
      <c r="E57" s="36">
        <f t="shared" si="3"/>
        <v>42475.67</v>
      </c>
      <c r="F57" s="4">
        <f t="shared" si="8"/>
        <v>0</v>
      </c>
      <c r="G57" s="4">
        <f t="shared" si="9"/>
        <v>0</v>
      </c>
      <c r="H57" s="4"/>
      <c r="I57" s="4">
        <f t="shared" si="11"/>
        <v>0</v>
      </c>
      <c r="J57" s="40"/>
    </row>
    <row r="58" spans="1:10" x14ac:dyDescent="0.25">
      <c r="A58" s="8">
        <v>45618</v>
      </c>
      <c r="B58" s="4">
        <v>1622.67</v>
      </c>
      <c r="C58" s="7">
        <v>40853</v>
      </c>
      <c r="D58" s="7"/>
      <c r="E58" s="36">
        <f t="shared" si="3"/>
        <v>42475.67</v>
      </c>
      <c r="F58" s="4">
        <f t="shared" si="8"/>
        <v>0</v>
      </c>
      <c r="G58" s="4">
        <f t="shared" si="9"/>
        <v>0</v>
      </c>
      <c r="H58" s="4"/>
      <c r="I58" s="4">
        <f t="shared" si="11"/>
        <v>0</v>
      </c>
      <c r="J58" s="40"/>
    </row>
    <row r="59" spans="1:10" x14ac:dyDescent="0.25">
      <c r="A59" s="8">
        <v>45619</v>
      </c>
      <c r="B59" s="4">
        <v>1623.73</v>
      </c>
      <c r="C59" s="7">
        <v>40886.660000000003</v>
      </c>
      <c r="D59" s="7"/>
      <c r="E59" s="36">
        <f t="shared" si="3"/>
        <v>42510.390000000007</v>
      </c>
      <c r="F59" s="4">
        <f t="shared" si="8"/>
        <v>1.0599999999999454</v>
      </c>
      <c r="G59" s="4">
        <f t="shared" si="9"/>
        <v>33.660000000003492</v>
      </c>
      <c r="H59" s="4"/>
      <c r="I59" s="4">
        <f t="shared" si="11"/>
        <v>34.720000000003438</v>
      </c>
      <c r="J59" s="40"/>
    </row>
    <row r="60" spans="1:10" x14ac:dyDescent="0.25">
      <c r="A60" s="8">
        <v>45620</v>
      </c>
      <c r="B60" s="4">
        <v>1623.73</v>
      </c>
      <c r="C60" s="7">
        <v>40886.660000000003</v>
      </c>
      <c r="D60" s="7"/>
      <c r="E60" s="36">
        <f t="shared" si="3"/>
        <v>42510.390000000007</v>
      </c>
      <c r="F60" s="4">
        <f t="shared" si="8"/>
        <v>0</v>
      </c>
      <c r="G60" s="4">
        <f t="shared" si="9"/>
        <v>0</v>
      </c>
      <c r="H60" s="4"/>
      <c r="I60" s="4">
        <f t="shared" si="11"/>
        <v>0</v>
      </c>
      <c r="J60" s="40"/>
    </row>
    <row r="61" spans="1:10" x14ac:dyDescent="0.25">
      <c r="A61" s="8">
        <v>45621</v>
      </c>
      <c r="B61" s="4">
        <v>1623.73</v>
      </c>
      <c r="C61" s="7">
        <v>40886.660000000003</v>
      </c>
      <c r="D61" s="7"/>
      <c r="E61" s="36">
        <f t="shared" si="3"/>
        <v>42510.390000000007</v>
      </c>
      <c r="F61" s="4">
        <f t="shared" si="8"/>
        <v>0</v>
      </c>
      <c r="G61" s="4">
        <f t="shared" si="9"/>
        <v>0</v>
      </c>
      <c r="H61" s="4"/>
      <c r="I61" s="4">
        <f t="shared" si="11"/>
        <v>0</v>
      </c>
      <c r="J61" s="40"/>
    </row>
    <row r="62" spans="1:10" x14ac:dyDescent="0.25">
      <c r="A62" s="8">
        <v>45622</v>
      </c>
      <c r="B62" s="4">
        <v>1624.24</v>
      </c>
      <c r="C62" s="7">
        <v>40900.82</v>
      </c>
      <c r="D62" s="7"/>
      <c r="E62" s="36">
        <f t="shared" si="3"/>
        <v>42525.06</v>
      </c>
      <c r="F62" s="4">
        <f t="shared" si="8"/>
        <v>0.50999999999999091</v>
      </c>
      <c r="G62" s="4">
        <f t="shared" si="9"/>
        <v>14.159999999996217</v>
      </c>
      <c r="H62" s="4"/>
      <c r="I62" s="4">
        <f t="shared" si="11"/>
        <v>14.669999999996207</v>
      </c>
      <c r="J62" s="40"/>
    </row>
    <row r="63" spans="1:10" x14ac:dyDescent="0.25">
      <c r="A63" s="8">
        <v>45623</v>
      </c>
      <c r="B63" s="4">
        <v>1624.76</v>
      </c>
      <c r="C63" s="7">
        <v>40915</v>
      </c>
      <c r="D63" s="7"/>
      <c r="E63" s="36">
        <f t="shared" si="3"/>
        <v>42539.76</v>
      </c>
      <c r="F63" s="4">
        <f t="shared" si="8"/>
        <v>0.51999999999998181</v>
      </c>
      <c r="G63" s="4">
        <f t="shared" si="9"/>
        <v>14.180000000000291</v>
      </c>
      <c r="H63" s="4"/>
      <c r="I63" s="4">
        <f t="shared" si="11"/>
        <v>14.700000000000273</v>
      </c>
      <c r="J63" s="40"/>
    </row>
    <row r="64" spans="1:10" x14ac:dyDescent="0.25">
      <c r="A64" s="8">
        <v>45624</v>
      </c>
      <c r="B64" s="4">
        <v>1625.3</v>
      </c>
      <c r="C64" s="7">
        <v>40929.18</v>
      </c>
      <c r="D64" s="7"/>
      <c r="E64" s="36">
        <f t="shared" si="3"/>
        <v>42554.48</v>
      </c>
      <c r="F64" s="4">
        <f t="shared" si="8"/>
        <v>0.53999999999996362</v>
      </c>
      <c r="G64" s="4">
        <f t="shared" si="9"/>
        <v>14.180000000000291</v>
      </c>
      <c r="H64" s="4"/>
      <c r="I64" s="4">
        <f t="shared" si="11"/>
        <v>14.720000000000255</v>
      </c>
      <c r="J64" s="40"/>
    </row>
    <row r="65" spans="1:10" x14ac:dyDescent="0.25">
      <c r="A65" s="8">
        <v>45625</v>
      </c>
      <c r="B65" s="4">
        <v>1625.84</v>
      </c>
      <c r="C65" s="7">
        <v>40948.720000000001</v>
      </c>
      <c r="D65" s="7"/>
      <c r="E65" s="36">
        <f t="shared" si="3"/>
        <v>42574.559999999998</v>
      </c>
      <c r="F65" s="4">
        <f t="shared" si="8"/>
        <v>0.53999999999996362</v>
      </c>
      <c r="G65" s="4">
        <f t="shared" si="9"/>
        <v>19.540000000000873</v>
      </c>
      <c r="H65" s="4"/>
      <c r="I65" s="4">
        <f t="shared" si="11"/>
        <v>20.080000000000837</v>
      </c>
      <c r="J65" s="40"/>
    </row>
    <row r="66" spans="1:10" x14ac:dyDescent="0.25">
      <c r="A66" s="8">
        <v>45626</v>
      </c>
      <c r="B66" s="4">
        <v>1626.35</v>
      </c>
      <c r="C66" s="7">
        <v>40962.94</v>
      </c>
      <c r="D66" s="7"/>
      <c r="E66" s="36">
        <f t="shared" si="3"/>
        <v>42589.29</v>
      </c>
      <c r="F66" s="4">
        <f t="shared" si="8"/>
        <v>0.50999999999999091</v>
      </c>
      <c r="G66" s="4">
        <f t="shared" si="9"/>
        <v>14.220000000001164</v>
      </c>
      <c r="H66" s="4"/>
      <c r="I66" s="4">
        <f t="shared" si="11"/>
        <v>14.730000000001155</v>
      </c>
      <c r="J66" s="40"/>
    </row>
    <row r="67" spans="1:10" x14ac:dyDescent="0.25">
      <c r="A67" s="5" t="s">
        <v>6</v>
      </c>
      <c r="B67" s="5"/>
      <c r="C67" s="5"/>
      <c r="D67" s="5"/>
      <c r="E67" s="5"/>
      <c r="F67" s="6">
        <f>SUM(F37:F66)</f>
        <v>11.25</v>
      </c>
      <c r="G67" s="6">
        <f t="shared" ref="G67:I67" si="12">SUM(G37:G66)</f>
        <v>322.33000000000175</v>
      </c>
      <c r="H67" s="6"/>
      <c r="I67" s="6">
        <f t="shared" si="12"/>
        <v>333.58000000000175</v>
      </c>
      <c r="J67" s="40"/>
    </row>
    <row r="68" spans="1:10" x14ac:dyDescent="0.25">
      <c r="A68" s="8">
        <v>45627</v>
      </c>
      <c r="B68" s="4">
        <v>1626.35</v>
      </c>
      <c r="C68" s="7">
        <v>40962.94</v>
      </c>
      <c r="D68" s="7"/>
      <c r="E68" s="36">
        <f t="shared" ref="E68:E131" si="13">SUM(B68:D68)</f>
        <v>42589.29</v>
      </c>
      <c r="F68" s="4">
        <f>B68-B66</f>
        <v>0</v>
      </c>
      <c r="G68" s="4">
        <f>C68-C66</f>
        <v>0</v>
      </c>
      <c r="H68" s="4"/>
      <c r="I68" s="4">
        <f t="shared" ref="I68" si="14">F68+G68</f>
        <v>0</v>
      </c>
      <c r="J68" s="40"/>
    </row>
    <row r="69" spans="1:10" x14ac:dyDescent="0.25">
      <c r="A69" s="8">
        <v>45628</v>
      </c>
      <c r="B69" s="4">
        <v>1626.35</v>
      </c>
      <c r="C69" s="7">
        <v>40962.94</v>
      </c>
      <c r="D69" s="4">
        <v>1000</v>
      </c>
      <c r="E69" s="36">
        <f t="shared" si="13"/>
        <v>43589.29</v>
      </c>
      <c r="F69" s="4">
        <f>B69-B68</f>
        <v>0</v>
      </c>
      <c r="G69" s="4">
        <f>C69-C68</f>
        <v>0</v>
      </c>
      <c r="H69" s="4"/>
      <c r="I69" s="4">
        <f>F69+G69</f>
        <v>0</v>
      </c>
      <c r="J69" s="40"/>
    </row>
    <row r="70" spans="1:10" x14ac:dyDescent="0.25">
      <c r="A70" s="8">
        <v>45629</v>
      </c>
      <c r="B70" s="4">
        <v>1626.87</v>
      </c>
      <c r="C70" s="7">
        <v>40977.19</v>
      </c>
      <c r="D70" s="4">
        <v>1000.37</v>
      </c>
      <c r="E70" s="36">
        <f t="shared" si="13"/>
        <v>43604.430000000008</v>
      </c>
      <c r="F70" s="4">
        <f>B70-B69</f>
        <v>0.51999999999998181</v>
      </c>
      <c r="G70" s="4">
        <f>C70-C69</f>
        <v>14.25</v>
      </c>
      <c r="H70" s="4">
        <f>D70-D69</f>
        <v>0.37000000000000455</v>
      </c>
      <c r="I70" s="4">
        <f>F70+G70+H70</f>
        <v>15.139999999999986</v>
      </c>
      <c r="J70" s="40"/>
    </row>
    <row r="71" spans="1:10" x14ac:dyDescent="0.25">
      <c r="A71" s="12" t="s">
        <v>7</v>
      </c>
      <c r="B71" s="15">
        <v>2626.87</v>
      </c>
      <c r="C71" s="13">
        <v>40977.19</v>
      </c>
      <c r="D71" s="13">
        <v>1000.37</v>
      </c>
      <c r="E71" s="36">
        <f t="shared" si="13"/>
        <v>44604.430000000008</v>
      </c>
      <c r="F71" s="13"/>
      <c r="G71" s="13"/>
      <c r="H71" s="13"/>
      <c r="I71" s="13"/>
      <c r="J71" s="40"/>
    </row>
    <row r="72" spans="1:10" x14ac:dyDescent="0.25">
      <c r="A72" s="8">
        <v>45630</v>
      </c>
      <c r="B72" s="7">
        <v>2627.43</v>
      </c>
      <c r="C72" s="7">
        <v>40991.43</v>
      </c>
      <c r="D72" s="7">
        <v>1000.75</v>
      </c>
      <c r="E72" s="36">
        <f t="shared" si="13"/>
        <v>44619.61</v>
      </c>
      <c r="F72" s="4">
        <f t="shared" ref="F72:F99" si="15">B72-B71</f>
        <v>0.55999999999994543</v>
      </c>
      <c r="G72" s="4">
        <f t="shared" ref="G72:G99" si="16">C72-C71</f>
        <v>14.239999999997963</v>
      </c>
      <c r="H72" s="4">
        <f t="shared" ref="H72:H85" si="17">D72-D71</f>
        <v>0.37999999999999545</v>
      </c>
      <c r="I72" s="4">
        <f t="shared" ref="I72:I85" si="18">F72+G72+H72</f>
        <v>15.179999999997904</v>
      </c>
      <c r="J72" s="40"/>
    </row>
    <row r="73" spans="1:10" x14ac:dyDescent="0.25">
      <c r="A73" s="8">
        <v>45631</v>
      </c>
      <c r="B73" s="7">
        <v>2627.99</v>
      </c>
      <c r="C73" s="7">
        <v>41005.67</v>
      </c>
      <c r="D73" s="7">
        <v>1001.13</v>
      </c>
      <c r="E73" s="36">
        <f t="shared" si="13"/>
        <v>44634.789999999994</v>
      </c>
      <c r="F73" s="4">
        <f t="shared" si="15"/>
        <v>0.55999999999994543</v>
      </c>
      <c r="G73" s="4">
        <f t="shared" si="16"/>
        <v>14.239999999997963</v>
      </c>
      <c r="H73" s="4">
        <f t="shared" si="17"/>
        <v>0.37999999999999545</v>
      </c>
      <c r="I73" s="4">
        <f t="shared" si="18"/>
        <v>15.179999999997904</v>
      </c>
      <c r="J73" s="40"/>
    </row>
    <row r="74" spans="1:10" x14ac:dyDescent="0.25">
      <c r="A74" s="8">
        <v>45632</v>
      </c>
      <c r="B74" s="7">
        <v>2628.59</v>
      </c>
      <c r="C74" s="7">
        <v>41025.230000000003</v>
      </c>
      <c r="D74" s="7">
        <v>1001.51</v>
      </c>
      <c r="E74" s="36">
        <f t="shared" si="13"/>
        <v>44655.330000000009</v>
      </c>
      <c r="F74" s="4">
        <f t="shared" si="15"/>
        <v>0.6000000000003638</v>
      </c>
      <c r="G74" s="4">
        <f t="shared" si="16"/>
        <v>19.560000000004948</v>
      </c>
      <c r="H74" s="4">
        <f t="shared" si="17"/>
        <v>0.37999999999999545</v>
      </c>
      <c r="I74" s="4">
        <f t="shared" si="18"/>
        <v>20.540000000005307</v>
      </c>
      <c r="J74" s="40"/>
    </row>
    <row r="75" spans="1:10" x14ac:dyDescent="0.25">
      <c r="A75" s="8">
        <v>45633</v>
      </c>
      <c r="B75" s="7">
        <v>2629.25</v>
      </c>
      <c r="C75" s="7">
        <v>41040.21</v>
      </c>
      <c r="D75" s="7">
        <v>1001.88</v>
      </c>
      <c r="E75" s="36">
        <f t="shared" si="13"/>
        <v>44671.34</v>
      </c>
      <c r="F75" s="4">
        <f t="shared" si="15"/>
        <v>0.65999999999985448</v>
      </c>
      <c r="G75" s="4">
        <f t="shared" si="16"/>
        <v>14.979999999995925</v>
      </c>
      <c r="H75" s="4">
        <f t="shared" si="17"/>
        <v>0.37000000000000455</v>
      </c>
      <c r="I75" s="4">
        <f t="shared" si="18"/>
        <v>16.009999999995784</v>
      </c>
      <c r="J75" s="40"/>
    </row>
    <row r="76" spans="1:10" x14ac:dyDescent="0.25">
      <c r="A76" s="8">
        <v>45634</v>
      </c>
      <c r="B76" s="7">
        <v>2629.25</v>
      </c>
      <c r="C76" s="7">
        <v>41040.21</v>
      </c>
      <c r="D76" s="7">
        <v>1001.88</v>
      </c>
      <c r="E76" s="36">
        <f t="shared" si="13"/>
        <v>44671.34</v>
      </c>
      <c r="F76" s="4">
        <f t="shared" si="15"/>
        <v>0</v>
      </c>
      <c r="G76" s="4">
        <f t="shared" si="16"/>
        <v>0</v>
      </c>
      <c r="H76" s="4">
        <f t="shared" si="17"/>
        <v>0</v>
      </c>
      <c r="I76" s="4">
        <f t="shared" si="18"/>
        <v>0</v>
      </c>
      <c r="J76" s="40"/>
    </row>
    <row r="77" spans="1:10" x14ac:dyDescent="0.25">
      <c r="A77" s="8">
        <v>45635</v>
      </c>
      <c r="B77" s="7">
        <v>2629.25</v>
      </c>
      <c r="C77" s="7">
        <v>41040.21</v>
      </c>
      <c r="D77" s="7">
        <v>1001.88</v>
      </c>
      <c r="E77" s="36">
        <f t="shared" si="13"/>
        <v>44671.34</v>
      </c>
      <c r="F77" s="4">
        <f t="shared" si="15"/>
        <v>0</v>
      </c>
      <c r="G77" s="4">
        <f t="shared" si="16"/>
        <v>0</v>
      </c>
      <c r="H77" s="4">
        <f t="shared" si="17"/>
        <v>0</v>
      </c>
      <c r="I77" s="4">
        <f t="shared" si="18"/>
        <v>0</v>
      </c>
      <c r="J77" s="40"/>
    </row>
    <row r="78" spans="1:10" x14ac:dyDescent="0.25">
      <c r="A78" s="8">
        <v>45636</v>
      </c>
      <c r="B78" s="7">
        <v>2629.91</v>
      </c>
      <c r="C78" s="7">
        <v>41054.5</v>
      </c>
      <c r="D78" s="7">
        <v>1002.26</v>
      </c>
      <c r="E78" s="36">
        <f t="shared" si="13"/>
        <v>44686.670000000006</v>
      </c>
      <c r="F78" s="4">
        <f t="shared" si="15"/>
        <v>0.65999999999985448</v>
      </c>
      <c r="G78" s="4">
        <f t="shared" si="16"/>
        <v>14.290000000000873</v>
      </c>
      <c r="H78" s="4">
        <f t="shared" si="17"/>
        <v>0.37999999999999545</v>
      </c>
      <c r="I78" s="4">
        <f t="shared" si="18"/>
        <v>15.330000000000723</v>
      </c>
      <c r="J78" s="40"/>
    </row>
    <row r="79" spans="1:10" x14ac:dyDescent="0.25">
      <c r="A79" s="8">
        <v>45637</v>
      </c>
      <c r="B79" s="7">
        <v>2630.59</v>
      </c>
      <c r="C79" s="7">
        <v>41068.81</v>
      </c>
      <c r="D79" s="7">
        <v>1002.64</v>
      </c>
      <c r="E79" s="36">
        <f t="shared" si="13"/>
        <v>44702.039999999994</v>
      </c>
      <c r="F79" s="4">
        <f t="shared" si="15"/>
        <v>0.68000000000029104</v>
      </c>
      <c r="G79" s="4">
        <f t="shared" si="16"/>
        <v>14.309999999997672</v>
      </c>
      <c r="H79" s="4">
        <f t="shared" si="17"/>
        <v>0.37999999999999545</v>
      </c>
      <c r="I79" s="4">
        <f t="shared" si="18"/>
        <v>15.369999999997958</v>
      </c>
      <c r="J79" s="40"/>
    </row>
    <row r="80" spans="1:10" x14ac:dyDescent="0.25">
      <c r="A80" s="8">
        <v>45638</v>
      </c>
      <c r="B80" s="7">
        <v>2631.27</v>
      </c>
      <c r="C80" s="7">
        <v>41083.089999999997</v>
      </c>
      <c r="D80" s="7">
        <v>1003.02</v>
      </c>
      <c r="E80" s="36">
        <f t="shared" si="13"/>
        <v>44717.37999999999</v>
      </c>
      <c r="F80" s="4">
        <f t="shared" si="15"/>
        <v>0.67999999999983629</v>
      </c>
      <c r="G80" s="4">
        <f t="shared" si="16"/>
        <v>14.279999999998836</v>
      </c>
      <c r="H80" s="4">
        <f t="shared" si="17"/>
        <v>0.37999999999999545</v>
      </c>
      <c r="I80" s="4">
        <f t="shared" si="18"/>
        <v>15.339999999998668</v>
      </c>
      <c r="J80" s="40"/>
    </row>
    <row r="81" spans="1:10" x14ac:dyDescent="0.25">
      <c r="A81" s="8">
        <v>45639</v>
      </c>
      <c r="B81" s="7">
        <v>2632.05</v>
      </c>
      <c r="C81" s="7">
        <v>41098.629999999997</v>
      </c>
      <c r="D81" s="7">
        <v>1003.43</v>
      </c>
      <c r="E81" s="36">
        <f t="shared" si="13"/>
        <v>44734.11</v>
      </c>
      <c r="F81" s="4">
        <f t="shared" si="15"/>
        <v>0.78000000000020009</v>
      </c>
      <c r="G81" s="4">
        <f t="shared" si="16"/>
        <v>15.540000000000873</v>
      </c>
      <c r="H81" s="4">
        <f t="shared" si="17"/>
        <v>0.40999999999996817</v>
      </c>
      <c r="I81" s="4">
        <f t="shared" si="18"/>
        <v>16.730000000001041</v>
      </c>
      <c r="J81" s="40"/>
    </row>
    <row r="82" spans="1:10" x14ac:dyDescent="0.25">
      <c r="A82" s="8">
        <v>45640</v>
      </c>
      <c r="B82" s="7">
        <v>2633.03</v>
      </c>
      <c r="C82" s="7">
        <v>41114.120000000003</v>
      </c>
      <c r="D82" s="7">
        <v>1003.84</v>
      </c>
      <c r="E82" s="36">
        <f t="shared" si="13"/>
        <v>44750.99</v>
      </c>
      <c r="F82" s="4">
        <f t="shared" si="15"/>
        <v>0.98000000000001819</v>
      </c>
      <c r="G82" s="4">
        <f t="shared" si="16"/>
        <v>15.490000000005239</v>
      </c>
      <c r="H82" s="4">
        <f t="shared" si="17"/>
        <v>0.41000000000008185</v>
      </c>
      <c r="I82" s="4">
        <f t="shared" si="18"/>
        <v>16.880000000005339</v>
      </c>
      <c r="J82" s="40"/>
    </row>
    <row r="83" spans="1:10" x14ac:dyDescent="0.25">
      <c r="A83" s="8">
        <v>45641</v>
      </c>
      <c r="B83" s="7">
        <v>2633.03</v>
      </c>
      <c r="C83" s="7">
        <v>41114.120000000003</v>
      </c>
      <c r="D83" s="7">
        <v>1003.84</v>
      </c>
      <c r="E83" s="36">
        <f t="shared" si="13"/>
        <v>44750.99</v>
      </c>
      <c r="F83" s="4">
        <f t="shared" si="15"/>
        <v>0</v>
      </c>
      <c r="G83" s="4">
        <f t="shared" si="16"/>
        <v>0</v>
      </c>
      <c r="H83" s="4">
        <f t="shared" si="17"/>
        <v>0</v>
      </c>
      <c r="I83" s="4">
        <f t="shared" si="18"/>
        <v>0</v>
      </c>
      <c r="J83" s="40"/>
    </row>
    <row r="84" spans="1:10" x14ac:dyDescent="0.25">
      <c r="A84" s="8">
        <v>45642</v>
      </c>
      <c r="B84" s="7">
        <v>2633.03</v>
      </c>
      <c r="C84" s="7">
        <v>41114.120000000003</v>
      </c>
      <c r="D84" s="7">
        <v>1003.84</v>
      </c>
      <c r="E84" s="36">
        <f t="shared" si="13"/>
        <v>44750.99</v>
      </c>
      <c r="F84" s="4">
        <f t="shared" si="15"/>
        <v>0</v>
      </c>
      <c r="G84" s="4">
        <f t="shared" si="16"/>
        <v>0</v>
      </c>
      <c r="H84" s="4">
        <f t="shared" si="17"/>
        <v>0</v>
      </c>
      <c r="I84" s="4">
        <f t="shared" si="18"/>
        <v>0</v>
      </c>
      <c r="J84" s="40"/>
    </row>
    <row r="85" spans="1:10" x14ac:dyDescent="0.25">
      <c r="A85" s="8">
        <v>45643</v>
      </c>
      <c r="B85" s="7">
        <v>2633.89</v>
      </c>
      <c r="C85" s="7">
        <v>41129.660000000003</v>
      </c>
      <c r="D85" s="7">
        <v>1004.25</v>
      </c>
      <c r="E85" s="36">
        <f t="shared" si="13"/>
        <v>44767.8</v>
      </c>
      <c r="F85" s="4">
        <f t="shared" si="15"/>
        <v>0.85999999999967258</v>
      </c>
      <c r="G85" s="4">
        <f t="shared" si="16"/>
        <v>15.540000000000873</v>
      </c>
      <c r="H85" s="4">
        <f t="shared" si="17"/>
        <v>0.40999999999996817</v>
      </c>
      <c r="I85" s="4">
        <f t="shared" si="18"/>
        <v>16.810000000000514</v>
      </c>
      <c r="J85" s="40"/>
    </row>
    <row r="86" spans="1:10" x14ac:dyDescent="0.25">
      <c r="A86" s="8">
        <v>45644</v>
      </c>
      <c r="B86" s="7">
        <v>2634.74</v>
      </c>
      <c r="C86" s="7">
        <v>41145.22</v>
      </c>
      <c r="D86" s="7">
        <v>1004.66</v>
      </c>
      <c r="E86" s="36">
        <f t="shared" si="13"/>
        <v>44784.62</v>
      </c>
      <c r="F86" s="4">
        <f t="shared" si="15"/>
        <v>0.84999999999990905</v>
      </c>
      <c r="G86" s="4">
        <f t="shared" si="16"/>
        <v>15.559999999997672</v>
      </c>
      <c r="H86" s="4">
        <f t="shared" ref="H86" si="19">D86-D85</f>
        <v>0.40999999999996817</v>
      </c>
      <c r="I86" s="4">
        <f t="shared" ref="I86" si="20">F86+G86+H86</f>
        <v>16.819999999997549</v>
      </c>
      <c r="J86" s="40"/>
    </row>
    <row r="87" spans="1:10" x14ac:dyDescent="0.25">
      <c r="A87" s="8">
        <v>45645</v>
      </c>
      <c r="B87" s="7">
        <v>2635.65</v>
      </c>
      <c r="C87" s="7">
        <v>41160.75</v>
      </c>
      <c r="D87" s="7">
        <v>1005.08</v>
      </c>
      <c r="E87" s="36">
        <f t="shared" si="13"/>
        <v>44801.48</v>
      </c>
      <c r="F87" s="4">
        <f t="shared" si="15"/>
        <v>0.91000000000030923</v>
      </c>
      <c r="G87" s="4">
        <f t="shared" si="16"/>
        <v>15.529999999998836</v>
      </c>
      <c r="H87" s="4">
        <f t="shared" ref="H87" si="21">D87-D86</f>
        <v>0.42000000000007276</v>
      </c>
      <c r="I87" s="4">
        <f t="shared" ref="I87" si="22">F87+G87+H87</f>
        <v>16.859999999999218</v>
      </c>
      <c r="J87" s="40"/>
    </row>
    <row r="88" spans="1:10" x14ac:dyDescent="0.25">
      <c r="A88" s="8">
        <v>45646</v>
      </c>
      <c r="B88" s="7">
        <v>2636.54</v>
      </c>
      <c r="C88" s="7">
        <v>41176.32</v>
      </c>
      <c r="D88" s="7">
        <v>1005.49</v>
      </c>
      <c r="E88" s="36">
        <f t="shared" si="13"/>
        <v>44818.35</v>
      </c>
      <c r="F88" s="4">
        <f t="shared" si="15"/>
        <v>0.88999999999987267</v>
      </c>
      <c r="G88" s="4">
        <f t="shared" si="16"/>
        <v>15.569999999999709</v>
      </c>
      <c r="H88" s="4">
        <f t="shared" ref="H88" si="23">D88-D87</f>
        <v>0.40999999999996817</v>
      </c>
      <c r="I88" s="4">
        <f t="shared" ref="I88" si="24">F88+G88+H88</f>
        <v>16.86999999999955</v>
      </c>
      <c r="J88" s="40"/>
    </row>
    <row r="89" spans="1:10" x14ac:dyDescent="0.25">
      <c r="A89" s="8">
        <v>45647</v>
      </c>
      <c r="B89" s="7">
        <v>2637.8</v>
      </c>
      <c r="C89" s="7">
        <v>41191.839999999997</v>
      </c>
      <c r="D89" s="7">
        <v>1005.9</v>
      </c>
      <c r="E89" s="36">
        <f t="shared" si="13"/>
        <v>44835.54</v>
      </c>
      <c r="F89" s="4">
        <f t="shared" si="15"/>
        <v>1.2600000000002183</v>
      </c>
      <c r="G89" s="4">
        <f t="shared" si="16"/>
        <v>15.519999999996799</v>
      </c>
      <c r="H89" s="4">
        <f t="shared" ref="H89" si="25">D89-D88</f>
        <v>0.40999999999996817</v>
      </c>
      <c r="I89" s="4">
        <f t="shared" ref="I89" si="26">F89+G89+H89</f>
        <v>17.189999999996985</v>
      </c>
      <c r="J89" s="40"/>
    </row>
    <row r="90" spans="1:10" x14ac:dyDescent="0.25">
      <c r="A90" s="8">
        <v>45648</v>
      </c>
      <c r="B90" s="7">
        <v>2637.8</v>
      </c>
      <c r="C90" s="7">
        <v>41191.839999999997</v>
      </c>
      <c r="D90" s="7">
        <v>1005.9</v>
      </c>
      <c r="E90" s="36">
        <f t="shared" si="13"/>
        <v>44835.54</v>
      </c>
      <c r="F90" s="4">
        <f t="shared" si="15"/>
        <v>0</v>
      </c>
      <c r="G90" s="4">
        <f t="shared" si="16"/>
        <v>0</v>
      </c>
      <c r="H90" s="4">
        <f t="shared" ref="H90:H91" si="27">D90-D89</f>
        <v>0</v>
      </c>
      <c r="I90" s="4">
        <f t="shared" ref="I90:I91" si="28">F90+G90+H90</f>
        <v>0</v>
      </c>
      <c r="J90" s="40"/>
    </row>
    <row r="91" spans="1:10" x14ac:dyDescent="0.25">
      <c r="A91" s="8">
        <v>45649</v>
      </c>
      <c r="B91" s="7">
        <v>2637.8</v>
      </c>
      <c r="C91" s="7">
        <v>41191.839999999997</v>
      </c>
      <c r="D91" s="7">
        <v>1005.9</v>
      </c>
      <c r="E91" s="36">
        <f t="shared" si="13"/>
        <v>44835.54</v>
      </c>
      <c r="F91" s="4">
        <f t="shared" si="15"/>
        <v>0</v>
      </c>
      <c r="G91" s="4">
        <f t="shared" si="16"/>
        <v>0</v>
      </c>
      <c r="H91" s="4">
        <f t="shared" si="27"/>
        <v>0</v>
      </c>
      <c r="I91" s="4">
        <f t="shared" si="28"/>
        <v>0</v>
      </c>
      <c r="J91" s="40"/>
    </row>
    <row r="92" spans="1:10" x14ac:dyDescent="0.25">
      <c r="A92" s="8">
        <v>45650</v>
      </c>
      <c r="B92" s="7">
        <v>2638.77</v>
      </c>
      <c r="C92" s="7">
        <v>41207.440000000002</v>
      </c>
      <c r="D92" s="7">
        <v>1006.31</v>
      </c>
      <c r="E92" s="36">
        <f t="shared" si="13"/>
        <v>44852.52</v>
      </c>
      <c r="F92" s="4">
        <f t="shared" si="15"/>
        <v>0.96999999999979991</v>
      </c>
      <c r="G92" s="4">
        <f t="shared" si="16"/>
        <v>15.600000000005821</v>
      </c>
      <c r="H92" s="4">
        <f t="shared" ref="H92" si="29">D92-D91</f>
        <v>0.40999999999996817</v>
      </c>
      <c r="I92" s="4">
        <f t="shared" ref="I92" si="30">F92+G92+H92</f>
        <v>16.980000000005589</v>
      </c>
      <c r="J92" s="40"/>
    </row>
    <row r="93" spans="1:10" x14ac:dyDescent="0.25">
      <c r="A93" s="8">
        <v>45651</v>
      </c>
      <c r="B93" s="7">
        <v>2639.97</v>
      </c>
      <c r="C93" s="7">
        <v>41223.01</v>
      </c>
      <c r="D93" s="7">
        <v>1006.72</v>
      </c>
      <c r="E93" s="36">
        <f t="shared" si="13"/>
        <v>44869.700000000004</v>
      </c>
      <c r="F93" s="4">
        <f t="shared" si="15"/>
        <v>1.1999999999998181</v>
      </c>
      <c r="G93" s="4">
        <f t="shared" si="16"/>
        <v>15.569999999999709</v>
      </c>
      <c r="H93" s="4">
        <f t="shared" ref="H93" si="31">D93-D92</f>
        <v>0.41000000000008185</v>
      </c>
      <c r="I93" s="4">
        <f t="shared" ref="I93" si="32">F93+G93+H93</f>
        <v>17.179999999999609</v>
      </c>
      <c r="J93" s="40"/>
    </row>
    <row r="94" spans="1:10" x14ac:dyDescent="0.25">
      <c r="A94" s="8">
        <v>45652</v>
      </c>
      <c r="B94" s="7">
        <v>2639.97</v>
      </c>
      <c r="C94" s="7">
        <v>41223.01</v>
      </c>
      <c r="D94" s="7">
        <v>1006.72</v>
      </c>
      <c r="E94" s="36">
        <f t="shared" si="13"/>
        <v>44869.700000000004</v>
      </c>
      <c r="F94" s="4">
        <f t="shared" si="15"/>
        <v>0</v>
      </c>
      <c r="G94" s="4">
        <f t="shared" si="16"/>
        <v>0</v>
      </c>
      <c r="H94" s="4">
        <f t="shared" ref="H94" si="33">D94-D93</f>
        <v>0</v>
      </c>
      <c r="I94" s="4">
        <f t="shared" ref="I94" si="34">F94+G94+H94</f>
        <v>0</v>
      </c>
      <c r="J94" s="40"/>
    </row>
    <row r="95" spans="1:10" x14ac:dyDescent="0.25">
      <c r="A95" s="8">
        <v>45653</v>
      </c>
      <c r="B95" s="7">
        <v>2640.99</v>
      </c>
      <c r="C95" s="7">
        <v>41238.61</v>
      </c>
      <c r="D95" s="7">
        <v>1007.14</v>
      </c>
      <c r="E95" s="36">
        <f t="shared" si="13"/>
        <v>44886.74</v>
      </c>
      <c r="F95" s="4">
        <f t="shared" si="15"/>
        <v>1.0199999999999818</v>
      </c>
      <c r="G95" s="4">
        <f t="shared" si="16"/>
        <v>15.599999999998545</v>
      </c>
      <c r="H95" s="4">
        <f t="shared" ref="H95" si="35">D95-D94</f>
        <v>0.41999999999995907</v>
      </c>
      <c r="I95" s="4">
        <f t="shared" ref="I95" si="36">F95+G95+H95</f>
        <v>17.039999999998486</v>
      </c>
      <c r="J95" s="40"/>
    </row>
    <row r="96" spans="1:10" x14ac:dyDescent="0.25">
      <c r="A96" s="8">
        <v>45654</v>
      </c>
      <c r="B96" s="7">
        <v>2642.47</v>
      </c>
      <c r="C96" s="7">
        <v>41254.18</v>
      </c>
      <c r="D96" s="7">
        <v>1007.55</v>
      </c>
      <c r="E96" s="36">
        <f t="shared" si="13"/>
        <v>44904.200000000004</v>
      </c>
      <c r="F96" s="4">
        <f t="shared" si="15"/>
        <v>1.4800000000000182</v>
      </c>
      <c r="G96" s="4">
        <f t="shared" si="16"/>
        <v>15.569999999999709</v>
      </c>
      <c r="H96" s="4">
        <f t="shared" ref="H96" si="37">D96-D95</f>
        <v>0.40999999999996817</v>
      </c>
      <c r="I96" s="4">
        <f t="shared" ref="I96" si="38">F96+G96+H96</f>
        <v>17.459999999999695</v>
      </c>
      <c r="J96" s="40"/>
    </row>
    <row r="97" spans="1:10" x14ac:dyDescent="0.25">
      <c r="A97" s="8">
        <v>45655</v>
      </c>
      <c r="B97" s="7">
        <v>2642.47</v>
      </c>
      <c r="C97" s="7">
        <v>41254.18</v>
      </c>
      <c r="D97" s="7">
        <v>1007.55</v>
      </c>
      <c r="E97" s="36">
        <f t="shared" si="13"/>
        <v>44904.200000000004</v>
      </c>
      <c r="F97" s="4">
        <f t="shared" si="15"/>
        <v>0</v>
      </c>
      <c r="G97" s="4">
        <f t="shared" si="16"/>
        <v>0</v>
      </c>
      <c r="H97" s="4">
        <f t="shared" ref="H97:H98" si="39">D97-D96</f>
        <v>0</v>
      </c>
      <c r="I97" s="4">
        <f t="shared" ref="I97:I98" si="40">F97+G97+H97</f>
        <v>0</v>
      </c>
      <c r="J97" s="40"/>
    </row>
    <row r="98" spans="1:10" x14ac:dyDescent="0.25">
      <c r="A98" s="8">
        <v>45656</v>
      </c>
      <c r="B98" s="7">
        <v>2642.47</v>
      </c>
      <c r="C98" s="7">
        <v>41254.18</v>
      </c>
      <c r="D98" s="7">
        <v>1007.55</v>
      </c>
      <c r="E98" s="36">
        <f t="shared" si="13"/>
        <v>44904.200000000004</v>
      </c>
      <c r="F98" s="4">
        <f t="shared" si="15"/>
        <v>0</v>
      </c>
      <c r="G98" s="4">
        <f t="shared" si="16"/>
        <v>0</v>
      </c>
      <c r="H98" s="4">
        <f t="shared" si="39"/>
        <v>0</v>
      </c>
      <c r="I98" s="4">
        <f t="shared" si="40"/>
        <v>0</v>
      </c>
      <c r="J98" s="40"/>
    </row>
    <row r="99" spans="1:10" x14ac:dyDescent="0.25">
      <c r="A99" s="8">
        <v>45657</v>
      </c>
      <c r="B99" s="7">
        <v>2643.63</v>
      </c>
      <c r="C99" s="7">
        <v>41269.79</v>
      </c>
      <c r="D99" s="7">
        <v>1007.96</v>
      </c>
      <c r="E99" s="36">
        <f t="shared" si="13"/>
        <v>44921.38</v>
      </c>
      <c r="F99" s="4">
        <f t="shared" si="15"/>
        <v>1.1600000000003092</v>
      </c>
      <c r="G99" s="4">
        <f t="shared" si="16"/>
        <v>15.610000000000582</v>
      </c>
      <c r="H99" s="4">
        <f t="shared" ref="H99" si="41">D99-D98</f>
        <v>0.41000000000008185</v>
      </c>
      <c r="I99" s="4">
        <f t="shared" ref="I99" si="42">F99+G99+H99</f>
        <v>17.180000000000973</v>
      </c>
      <c r="J99" s="40"/>
    </row>
    <row r="100" spans="1:10" x14ac:dyDescent="0.25">
      <c r="A100" s="5" t="s">
        <v>6</v>
      </c>
      <c r="B100" s="5"/>
      <c r="C100" s="5"/>
      <c r="D100" s="5"/>
      <c r="E100" s="5"/>
      <c r="F100" s="6">
        <f>SUM(F70:F99)</f>
        <v>17.2800000000002</v>
      </c>
      <c r="G100" s="6">
        <f t="shared" ref="G100:I100" si="43">SUM(G70:G99)</f>
        <v>306.84999999999854</v>
      </c>
      <c r="H100" s="6">
        <f>SUM(H68:H99)</f>
        <v>7.9600000000000364</v>
      </c>
      <c r="I100" s="6">
        <f t="shared" si="43"/>
        <v>332.08999999999878</v>
      </c>
      <c r="J100" s="40"/>
    </row>
    <row r="101" spans="1:10" x14ac:dyDescent="0.25">
      <c r="A101" s="8">
        <v>45658</v>
      </c>
      <c r="B101" s="7">
        <v>2644.96</v>
      </c>
      <c r="C101" s="7">
        <v>41285.379999999997</v>
      </c>
      <c r="D101" s="7">
        <v>1008.37</v>
      </c>
      <c r="E101" s="36">
        <f t="shared" si="13"/>
        <v>44938.71</v>
      </c>
      <c r="F101" s="4">
        <f>B101-B99</f>
        <v>1.3299999999999272</v>
      </c>
      <c r="G101" s="4">
        <f>C101-C99</f>
        <v>15.589999999996508</v>
      </c>
      <c r="H101" s="4">
        <f>D101-D99</f>
        <v>0.40999999999996817</v>
      </c>
      <c r="I101" s="4">
        <f>SUM(F101:H101)</f>
        <v>17.329999999996403</v>
      </c>
      <c r="J101" s="40"/>
    </row>
    <row r="102" spans="1:10" x14ac:dyDescent="0.25">
      <c r="A102" s="8">
        <v>45659</v>
      </c>
      <c r="B102" s="7">
        <v>2644.96</v>
      </c>
      <c r="C102" s="7">
        <v>41285.379999999997</v>
      </c>
      <c r="D102" s="7">
        <v>1008.37</v>
      </c>
      <c r="E102" s="36">
        <f t="shared" si="13"/>
        <v>44938.71</v>
      </c>
      <c r="F102" s="4">
        <f t="shared" ref="F102:G105" si="44">B102-B101</f>
        <v>0</v>
      </c>
      <c r="G102" s="4">
        <f t="shared" si="44"/>
        <v>0</v>
      </c>
      <c r="H102" s="4">
        <f t="shared" ref="H102:H103" si="45">D102-D101</f>
        <v>0</v>
      </c>
      <c r="I102" s="4">
        <f>SUM(F102:H102)</f>
        <v>0</v>
      </c>
      <c r="J102" s="40"/>
    </row>
    <row r="103" spans="1:10" x14ac:dyDescent="0.25">
      <c r="A103" s="8">
        <v>45660</v>
      </c>
      <c r="B103" s="7">
        <v>2645.9</v>
      </c>
      <c r="C103" s="7">
        <v>41300.99</v>
      </c>
      <c r="D103" s="7">
        <v>1008.79</v>
      </c>
      <c r="E103" s="36">
        <f t="shared" si="13"/>
        <v>44955.68</v>
      </c>
      <c r="F103" s="4">
        <f t="shared" si="44"/>
        <v>0.94000000000005457</v>
      </c>
      <c r="G103" s="4">
        <f t="shared" si="44"/>
        <v>15.610000000000582</v>
      </c>
      <c r="H103" s="4">
        <f t="shared" si="45"/>
        <v>0.41999999999995907</v>
      </c>
      <c r="I103" s="4">
        <f>SUM(F103:H103)</f>
        <v>16.970000000000596</v>
      </c>
      <c r="J103" s="40"/>
    </row>
    <row r="104" spans="1:10" x14ac:dyDescent="0.25">
      <c r="A104" s="8">
        <v>45661</v>
      </c>
      <c r="B104" s="7">
        <v>2645.9</v>
      </c>
      <c r="C104" s="7">
        <v>41300.99</v>
      </c>
      <c r="D104" s="7">
        <v>1008.79</v>
      </c>
      <c r="E104" s="36">
        <f t="shared" si="13"/>
        <v>44955.68</v>
      </c>
      <c r="F104" s="4">
        <f t="shared" si="44"/>
        <v>0</v>
      </c>
      <c r="G104" s="4">
        <f t="shared" si="44"/>
        <v>0</v>
      </c>
      <c r="H104" s="4">
        <f t="shared" ref="H104:H105" si="46">D104-D103</f>
        <v>0</v>
      </c>
      <c r="I104" s="4">
        <f t="shared" ref="I104:I105" si="47">SUM(F104:H104)</f>
        <v>0</v>
      </c>
      <c r="J104" s="40"/>
    </row>
    <row r="105" spans="1:10" x14ac:dyDescent="0.25">
      <c r="A105" s="8">
        <v>45662</v>
      </c>
      <c r="B105" s="7">
        <v>2645.9</v>
      </c>
      <c r="C105" s="7">
        <v>41300.99</v>
      </c>
      <c r="D105" s="7">
        <v>1008.79</v>
      </c>
      <c r="E105" s="36">
        <f t="shared" si="13"/>
        <v>44955.68</v>
      </c>
      <c r="F105" s="4">
        <f t="shared" si="44"/>
        <v>0</v>
      </c>
      <c r="G105" s="4">
        <f t="shared" si="44"/>
        <v>0</v>
      </c>
      <c r="H105" s="4">
        <f t="shared" si="46"/>
        <v>0</v>
      </c>
      <c r="I105" s="4">
        <f t="shared" si="47"/>
        <v>0</v>
      </c>
      <c r="J105" s="40"/>
    </row>
    <row r="106" spans="1:10" x14ac:dyDescent="0.25">
      <c r="A106" s="12" t="s">
        <v>7</v>
      </c>
      <c r="B106" s="13">
        <v>2645.9</v>
      </c>
      <c r="C106" s="13">
        <v>41300.99</v>
      </c>
      <c r="D106" s="15">
        <v>2008.79</v>
      </c>
      <c r="E106" s="36">
        <f t="shared" si="13"/>
        <v>45955.68</v>
      </c>
      <c r="F106" s="13"/>
      <c r="G106" s="13"/>
      <c r="H106" s="13"/>
      <c r="I106" s="13"/>
      <c r="J106" s="40"/>
    </row>
    <row r="107" spans="1:10" x14ac:dyDescent="0.25">
      <c r="A107" s="8">
        <v>45663</v>
      </c>
      <c r="B107" s="7">
        <v>2646.81</v>
      </c>
      <c r="C107" s="7">
        <v>41316.61</v>
      </c>
      <c r="D107" s="7">
        <v>2009.9</v>
      </c>
      <c r="E107" s="36">
        <f t="shared" si="13"/>
        <v>45973.32</v>
      </c>
      <c r="F107" s="4">
        <f>B107-B106</f>
        <v>0.90999999999985448</v>
      </c>
      <c r="G107" s="4">
        <f>C107-C106</f>
        <v>15.620000000002619</v>
      </c>
      <c r="H107" s="4">
        <f t="shared" ref="H107" si="48">D107-D106</f>
        <v>1.1100000000001273</v>
      </c>
      <c r="I107" s="4">
        <f t="shared" ref="I107" si="49">SUM(F107:H107)</f>
        <v>17.640000000002601</v>
      </c>
      <c r="J107" s="40"/>
    </row>
    <row r="108" spans="1:10" x14ac:dyDescent="0.25">
      <c r="A108" s="8">
        <v>45664</v>
      </c>
      <c r="B108" s="7">
        <v>2647.75</v>
      </c>
      <c r="C108" s="7">
        <v>41332.25</v>
      </c>
      <c r="D108" s="7">
        <v>2010.42</v>
      </c>
      <c r="E108" s="36">
        <f t="shared" si="13"/>
        <v>45990.42</v>
      </c>
      <c r="F108" s="4">
        <f>B108-B107</f>
        <v>0.94000000000005457</v>
      </c>
      <c r="G108" s="4">
        <f>C108-C107</f>
        <v>15.639999999999418</v>
      </c>
      <c r="H108" s="4">
        <f>D108-D107</f>
        <v>0.51999999999998181</v>
      </c>
      <c r="I108" s="4">
        <f t="shared" ref="I108" si="50">SUM(F108:H108)</f>
        <v>17.099999999999454</v>
      </c>
      <c r="J108" s="40"/>
    </row>
    <row r="109" spans="1:10" x14ac:dyDescent="0.25">
      <c r="A109" s="12" t="s">
        <v>7</v>
      </c>
      <c r="B109" s="13">
        <v>2647.75</v>
      </c>
      <c r="C109" s="13">
        <v>41332.25</v>
      </c>
      <c r="D109" s="15">
        <v>3010.42</v>
      </c>
      <c r="E109" s="36">
        <f t="shared" si="13"/>
        <v>46990.42</v>
      </c>
      <c r="F109" s="13"/>
      <c r="G109" s="13"/>
      <c r="H109" s="13"/>
      <c r="I109" s="13"/>
      <c r="J109" s="40"/>
    </row>
    <row r="110" spans="1:10" x14ac:dyDescent="0.25">
      <c r="A110" s="8">
        <v>45665</v>
      </c>
      <c r="B110" s="7">
        <v>2648.7</v>
      </c>
      <c r="C110" s="7">
        <v>41347.870000000003</v>
      </c>
      <c r="D110" s="7">
        <v>3011.65</v>
      </c>
      <c r="E110" s="36">
        <f t="shared" si="13"/>
        <v>47008.22</v>
      </c>
      <c r="F110" s="4">
        <f t="shared" ref="F110:F133" si="51">B110-B109</f>
        <v>0.9499999999998181</v>
      </c>
      <c r="G110" s="4">
        <f t="shared" ref="G110:G133" si="52">C110-C109</f>
        <v>15.620000000002619</v>
      </c>
      <c r="H110" s="4">
        <f t="shared" ref="H110" si="53">D110-D109</f>
        <v>1.2300000000000182</v>
      </c>
      <c r="I110" s="4">
        <f t="shared" ref="I110" si="54">SUM(F110:H110)</f>
        <v>17.800000000002456</v>
      </c>
      <c r="J110" s="40"/>
    </row>
    <row r="111" spans="1:10" x14ac:dyDescent="0.25">
      <c r="A111" s="8">
        <v>45666</v>
      </c>
      <c r="B111" s="7">
        <v>2649.64</v>
      </c>
      <c r="C111" s="7">
        <v>41363.480000000003</v>
      </c>
      <c r="D111" s="7">
        <v>3012.88</v>
      </c>
      <c r="E111" s="36">
        <f t="shared" si="13"/>
        <v>47026</v>
      </c>
      <c r="F111" s="4">
        <f t="shared" si="51"/>
        <v>0.94000000000005457</v>
      </c>
      <c r="G111" s="4">
        <f t="shared" si="52"/>
        <v>15.610000000000582</v>
      </c>
      <c r="H111" s="4">
        <f t="shared" ref="H111" si="55">D111-D110</f>
        <v>1.2300000000000182</v>
      </c>
      <c r="I111" s="4">
        <f t="shared" ref="I111" si="56">SUM(F111:H111)</f>
        <v>17.780000000000655</v>
      </c>
      <c r="J111" s="40"/>
    </row>
    <row r="112" spans="1:10" x14ac:dyDescent="0.25">
      <c r="A112" s="8">
        <v>45667</v>
      </c>
      <c r="B112" s="7">
        <v>2650.56</v>
      </c>
      <c r="C112" s="7">
        <v>41379.17</v>
      </c>
      <c r="D112" s="7">
        <v>3014.12</v>
      </c>
      <c r="E112" s="36">
        <f t="shared" si="13"/>
        <v>47043.85</v>
      </c>
      <c r="F112" s="4">
        <f t="shared" si="51"/>
        <v>0.92000000000007276</v>
      </c>
      <c r="G112" s="4">
        <f t="shared" si="52"/>
        <v>15.689999999995052</v>
      </c>
      <c r="H112" s="4">
        <f t="shared" ref="H112" si="57">D112-D111</f>
        <v>1.2399999999997817</v>
      </c>
      <c r="I112" s="4">
        <f t="shared" ref="I112" si="58">SUM(F112:H112)</f>
        <v>17.849999999994907</v>
      </c>
      <c r="J112" s="40"/>
    </row>
    <row r="113" spans="1:10" x14ac:dyDescent="0.25">
      <c r="A113" s="8">
        <v>45668</v>
      </c>
      <c r="B113" s="7">
        <v>2651.5</v>
      </c>
      <c r="C113" s="7">
        <v>41394.79</v>
      </c>
      <c r="D113" s="7">
        <v>3015.36</v>
      </c>
      <c r="E113" s="36">
        <f t="shared" si="13"/>
        <v>47061.65</v>
      </c>
      <c r="F113" s="4">
        <f t="shared" si="51"/>
        <v>0.94000000000005457</v>
      </c>
      <c r="G113" s="4">
        <f t="shared" si="52"/>
        <v>15.620000000002619</v>
      </c>
      <c r="H113" s="4">
        <f t="shared" ref="H113" si="59">D113-D112</f>
        <v>1.2400000000002365</v>
      </c>
      <c r="I113" s="4">
        <f t="shared" ref="I113" si="60">SUM(F113:H113)</f>
        <v>17.80000000000291</v>
      </c>
      <c r="J113" s="40"/>
    </row>
    <row r="114" spans="1:10" x14ac:dyDescent="0.25">
      <c r="A114" s="8">
        <v>45669</v>
      </c>
      <c r="B114" s="7">
        <v>2651.5</v>
      </c>
      <c r="C114" s="7">
        <v>41394.79</v>
      </c>
      <c r="D114" s="7">
        <v>3015.36</v>
      </c>
      <c r="E114" s="36">
        <f t="shared" si="13"/>
        <v>47061.65</v>
      </c>
      <c r="F114" s="4">
        <f t="shared" si="51"/>
        <v>0</v>
      </c>
      <c r="G114" s="4">
        <f t="shared" si="52"/>
        <v>0</v>
      </c>
      <c r="H114" s="4">
        <f t="shared" ref="H114:H115" si="61">D114-D113</f>
        <v>0</v>
      </c>
      <c r="I114" s="4">
        <f t="shared" ref="I114:I115" si="62">SUM(F114:H114)</f>
        <v>0</v>
      </c>
      <c r="J114" s="40"/>
    </row>
    <row r="115" spans="1:10" x14ac:dyDescent="0.25">
      <c r="A115" s="8">
        <v>45670</v>
      </c>
      <c r="B115" s="7">
        <v>2651.5</v>
      </c>
      <c r="C115" s="7">
        <v>41394.79</v>
      </c>
      <c r="D115" s="7">
        <v>3015.36</v>
      </c>
      <c r="E115" s="36">
        <f t="shared" si="13"/>
        <v>47061.65</v>
      </c>
      <c r="F115" s="4">
        <f t="shared" si="51"/>
        <v>0</v>
      </c>
      <c r="G115" s="4">
        <f t="shared" si="52"/>
        <v>0</v>
      </c>
      <c r="H115" s="4">
        <f t="shared" si="61"/>
        <v>0</v>
      </c>
      <c r="I115" s="4">
        <f t="shared" si="62"/>
        <v>0</v>
      </c>
      <c r="J115" s="40"/>
    </row>
    <row r="116" spans="1:10" x14ac:dyDescent="0.25">
      <c r="A116" s="8">
        <v>45671</v>
      </c>
      <c r="B116" s="7">
        <v>2652.45</v>
      </c>
      <c r="C116" s="7">
        <v>41410.49</v>
      </c>
      <c r="D116" s="7">
        <v>3016.59</v>
      </c>
      <c r="E116" s="36">
        <f t="shared" si="13"/>
        <v>47079.53</v>
      </c>
      <c r="F116" s="4">
        <f t="shared" si="51"/>
        <v>0.9499999999998181</v>
      </c>
      <c r="G116" s="4">
        <f t="shared" si="52"/>
        <v>15.69999999999709</v>
      </c>
      <c r="H116" s="4">
        <f t="shared" ref="H116" si="63">D116-D115</f>
        <v>1.2300000000000182</v>
      </c>
      <c r="I116" s="4">
        <f t="shared" ref="I116" si="64">SUM(F116:H116)</f>
        <v>17.879999999996926</v>
      </c>
      <c r="J116" s="40"/>
    </row>
    <row r="117" spans="1:10" x14ac:dyDescent="0.25">
      <c r="A117" s="8">
        <v>45672</v>
      </c>
      <c r="B117" s="7">
        <v>2653.37</v>
      </c>
      <c r="C117" s="7">
        <v>41426.14</v>
      </c>
      <c r="D117" s="7">
        <v>3017.84</v>
      </c>
      <c r="E117" s="36">
        <f t="shared" si="13"/>
        <v>47097.350000000006</v>
      </c>
      <c r="F117" s="4">
        <f t="shared" si="51"/>
        <v>0.92000000000007276</v>
      </c>
      <c r="G117" s="4">
        <f t="shared" si="52"/>
        <v>15.650000000001455</v>
      </c>
      <c r="H117" s="4">
        <f t="shared" ref="H117" si="65">D117-D116</f>
        <v>1.25</v>
      </c>
      <c r="I117" s="4">
        <f t="shared" ref="I117" si="66">SUM(F117:H117)</f>
        <v>17.820000000001528</v>
      </c>
      <c r="J117" s="40"/>
    </row>
    <row r="118" spans="1:10" x14ac:dyDescent="0.25">
      <c r="A118" s="8">
        <v>45673</v>
      </c>
      <c r="B118" s="7">
        <v>2654.31</v>
      </c>
      <c r="C118" s="7">
        <v>41441.81</v>
      </c>
      <c r="D118" s="7">
        <v>3019.07</v>
      </c>
      <c r="E118" s="36">
        <f t="shared" si="13"/>
        <v>47115.189999999995</v>
      </c>
      <c r="F118" s="4">
        <f t="shared" si="51"/>
        <v>0.94000000000005457</v>
      </c>
      <c r="G118" s="4">
        <f t="shared" si="52"/>
        <v>15.669999999998254</v>
      </c>
      <c r="H118" s="4">
        <f t="shared" ref="H118" si="67">D118-D117</f>
        <v>1.2300000000000182</v>
      </c>
      <c r="I118" s="4">
        <f t="shared" ref="I118" si="68">SUM(F118:H118)</f>
        <v>17.839999999998327</v>
      </c>
      <c r="J118" s="40"/>
    </row>
    <row r="119" spans="1:10" x14ac:dyDescent="0.25">
      <c r="A119" s="8">
        <v>45674</v>
      </c>
      <c r="B119" s="7">
        <v>2655.25</v>
      </c>
      <c r="C119" s="7">
        <v>41457.480000000003</v>
      </c>
      <c r="D119" s="7">
        <v>3020.31</v>
      </c>
      <c r="E119" s="36">
        <f t="shared" si="13"/>
        <v>47133.04</v>
      </c>
      <c r="F119" s="4">
        <f t="shared" si="51"/>
        <v>0.94000000000005457</v>
      </c>
      <c r="G119" s="4">
        <f t="shared" si="52"/>
        <v>15.67000000000553</v>
      </c>
      <c r="H119" s="4">
        <f t="shared" ref="H119" si="69">D119-D118</f>
        <v>1.2399999999997817</v>
      </c>
      <c r="I119" s="4">
        <f t="shared" ref="I119" si="70">SUM(F119:H119)</f>
        <v>17.850000000005366</v>
      </c>
      <c r="J119" s="40"/>
    </row>
    <row r="120" spans="1:10" x14ac:dyDescent="0.25">
      <c r="A120" s="8">
        <v>45675</v>
      </c>
      <c r="B120" s="7">
        <v>2656.18</v>
      </c>
      <c r="C120" s="7">
        <v>41473.199999999997</v>
      </c>
      <c r="D120" s="7">
        <v>3021.54</v>
      </c>
      <c r="E120" s="36">
        <f t="shared" si="13"/>
        <v>47150.92</v>
      </c>
      <c r="F120" s="4">
        <f t="shared" si="51"/>
        <v>0.92999999999983629</v>
      </c>
      <c r="G120" s="4">
        <f t="shared" si="52"/>
        <v>15.719999999993888</v>
      </c>
      <c r="H120" s="4">
        <f t="shared" ref="H120" si="71">D120-D119</f>
        <v>1.2300000000000182</v>
      </c>
      <c r="I120" s="4">
        <f t="shared" ref="I120" si="72">SUM(F120:H120)</f>
        <v>17.879999999993743</v>
      </c>
      <c r="J120" s="40"/>
    </row>
    <row r="121" spans="1:10" x14ac:dyDescent="0.25">
      <c r="A121" s="8">
        <v>45676</v>
      </c>
      <c r="B121" s="7">
        <v>2656.18</v>
      </c>
      <c r="C121" s="7">
        <v>41473.199999999997</v>
      </c>
      <c r="D121" s="7">
        <v>3021.54</v>
      </c>
      <c r="E121" s="36">
        <f t="shared" si="13"/>
        <v>47150.92</v>
      </c>
      <c r="F121" s="4">
        <f t="shared" si="51"/>
        <v>0</v>
      </c>
      <c r="G121" s="4">
        <f t="shared" si="52"/>
        <v>0</v>
      </c>
      <c r="H121" s="4">
        <f t="shared" ref="H121:H122" si="73">D121-D120</f>
        <v>0</v>
      </c>
      <c r="I121" s="4">
        <f t="shared" ref="I121:I122" si="74">SUM(F121:H121)</f>
        <v>0</v>
      </c>
      <c r="J121" s="40"/>
    </row>
    <row r="122" spans="1:10" x14ac:dyDescent="0.25">
      <c r="A122" s="8">
        <v>45677</v>
      </c>
      <c r="B122" s="7">
        <v>2656.18</v>
      </c>
      <c r="C122" s="7">
        <v>41473.199999999997</v>
      </c>
      <c r="D122" s="7">
        <v>3021.54</v>
      </c>
      <c r="E122" s="36">
        <f t="shared" si="13"/>
        <v>47150.92</v>
      </c>
      <c r="F122" s="4">
        <f t="shared" si="51"/>
        <v>0</v>
      </c>
      <c r="G122" s="4">
        <f t="shared" si="52"/>
        <v>0</v>
      </c>
      <c r="H122" s="4">
        <f t="shared" si="73"/>
        <v>0</v>
      </c>
      <c r="I122" s="4">
        <f t="shared" si="74"/>
        <v>0</v>
      </c>
      <c r="J122" s="40"/>
    </row>
    <row r="123" spans="1:10" x14ac:dyDescent="0.25">
      <c r="A123" s="8">
        <v>45678</v>
      </c>
      <c r="B123" s="7">
        <v>2657.14</v>
      </c>
      <c r="C123" s="7">
        <v>41488.870000000003</v>
      </c>
      <c r="D123" s="7">
        <v>3022.78</v>
      </c>
      <c r="E123" s="36">
        <f t="shared" si="13"/>
        <v>47168.79</v>
      </c>
      <c r="F123" s="4">
        <f t="shared" si="51"/>
        <v>0.96000000000003638</v>
      </c>
      <c r="G123" s="4">
        <f t="shared" si="52"/>
        <v>15.67000000000553</v>
      </c>
      <c r="H123" s="4">
        <f t="shared" ref="H123" si="75">D123-D122</f>
        <v>1.2400000000002365</v>
      </c>
      <c r="I123" s="4">
        <f t="shared" ref="I123" si="76">SUM(F123:H123)</f>
        <v>17.870000000005803</v>
      </c>
      <c r="J123" s="40"/>
    </row>
    <row r="124" spans="1:10" x14ac:dyDescent="0.25">
      <c r="A124" s="8">
        <v>45679</v>
      </c>
      <c r="B124" s="7">
        <v>2658.06</v>
      </c>
      <c r="C124" s="7">
        <v>41504.6</v>
      </c>
      <c r="D124" s="7">
        <v>3024.01</v>
      </c>
      <c r="E124" s="36">
        <f t="shared" si="13"/>
        <v>47186.67</v>
      </c>
      <c r="F124" s="4">
        <f t="shared" si="51"/>
        <v>0.92000000000007276</v>
      </c>
      <c r="G124" s="4">
        <f t="shared" si="52"/>
        <v>15.729999999995925</v>
      </c>
      <c r="H124" s="4">
        <f t="shared" ref="H124" si="77">D124-D123</f>
        <v>1.2300000000000182</v>
      </c>
      <c r="I124" s="4">
        <f t="shared" ref="I124" si="78">SUM(F124:H124)</f>
        <v>17.879999999996016</v>
      </c>
      <c r="J124" s="40"/>
    </row>
    <row r="125" spans="1:10" x14ac:dyDescent="0.25">
      <c r="A125" s="8">
        <v>45680</v>
      </c>
      <c r="B125" s="7">
        <v>2659</v>
      </c>
      <c r="C125" s="7">
        <v>41520.26</v>
      </c>
      <c r="D125" s="7">
        <v>3025.25</v>
      </c>
      <c r="E125" s="36">
        <f t="shared" si="13"/>
        <v>47204.51</v>
      </c>
      <c r="F125" s="4">
        <f t="shared" si="51"/>
        <v>0.94000000000005457</v>
      </c>
      <c r="G125" s="4">
        <f t="shared" si="52"/>
        <v>15.660000000003492</v>
      </c>
      <c r="H125" s="4">
        <f t="shared" ref="H125" si="79">D125-D124</f>
        <v>1.2399999999997817</v>
      </c>
      <c r="I125" s="4">
        <f t="shared" ref="I125" si="80">SUM(F125:H125)</f>
        <v>17.840000000003329</v>
      </c>
      <c r="J125" s="40"/>
    </row>
    <row r="126" spans="1:10" x14ac:dyDescent="0.25">
      <c r="A126" s="8">
        <v>45681</v>
      </c>
      <c r="B126" s="7">
        <v>2659.95</v>
      </c>
      <c r="C126" s="7">
        <v>41536.03</v>
      </c>
      <c r="D126" s="7">
        <v>3026.49</v>
      </c>
      <c r="E126" s="36">
        <f t="shared" si="13"/>
        <v>47222.469999999994</v>
      </c>
      <c r="F126" s="4">
        <f t="shared" si="51"/>
        <v>0.9499999999998181</v>
      </c>
      <c r="G126" s="4">
        <f t="shared" si="52"/>
        <v>15.769999999996799</v>
      </c>
      <c r="H126" s="4">
        <f t="shared" ref="H126" si="81">D126-D125</f>
        <v>1.2399999999997817</v>
      </c>
      <c r="I126" s="4">
        <f t="shared" ref="I126" si="82">SUM(F126:H126)</f>
        <v>17.959999999996398</v>
      </c>
      <c r="J126" s="40"/>
    </row>
    <row r="127" spans="1:10" x14ac:dyDescent="0.25">
      <c r="A127" s="8">
        <v>45682</v>
      </c>
      <c r="B127" s="7">
        <v>2660.88</v>
      </c>
      <c r="C127" s="7">
        <v>41551.72</v>
      </c>
      <c r="D127" s="7">
        <v>3027.73</v>
      </c>
      <c r="E127" s="36">
        <f t="shared" si="13"/>
        <v>47240.33</v>
      </c>
      <c r="F127" s="4">
        <f t="shared" si="51"/>
        <v>0.93000000000029104</v>
      </c>
      <c r="G127" s="4">
        <f t="shared" si="52"/>
        <v>15.690000000002328</v>
      </c>
      <c r="H127" s="4">
        <f t="shared" ref="H127" si="83">D127-D126</f>
        <v>1.2400000000002365</v>
      </c>
      <c r="I127" s="4">
        <f t="shared" ref="I127" si="84">SUM(F127:H127)</f>
        <v>17.860000000002856</v>
      </c>
      <c r="J127" s="40"/>
    </row>
    <row r="128" spans="1:10" x14ac:dyDescent="0.25">
      <c r="A128" s="8">
        <v>45683</v>
      </c>
      <c r="B128" s="7">
        <v>2660.88</v>
      </c>
      <c r="C128" s="7">
        <v>41551.72</v>
      </c>
      <c r="D128" s="7">
        <v>3027.73</v>
      </c>
      <c r="E128" s="36">
        <f t="shared" si="13"/>
        <v>47240.33</v>
      </c>
      <c r="F128" s="4">
        <f t="shared" si="51"/>
        <v>0</v>
      </c>
      <c r="G128" s="4">
        <f t="shared" si="52"/>
        <v>0</v>
      </c>
      <c r="H128" s="4">
        <f t="shared" ref="H128:H129" si="85">D128-D127</f>
        <v>0</v>
      </c>
      <c r="I128" s="4">
        <f t="shared" ref="I128:I129" si="86">SUM(F128:H128)</f>
        <v>0</v>
      </c>
      <c r="J128" s="40"/>
    </row>
    <row r="129" spans="1:10" x14ac:dyDescent="0.25">
      <c r="A129" s="8">
        <v>45684</v>
      </c>
      <c r="B129" s="7">
        <v>2660.88</v>
      </c>
      <c r="C129" s="7">
        <v>41551.72</v>
      </c>
      <c r="D129" s="7">
        <v>3027.73</v>
      </c>
      <c r="E129" s="36">
        <f t="shared" si="13"/>
        <v>47240.33</v>
      </c>
      <c r="F129" s="4">
        <f t="shared" si="51"/>
        <v>0</v>
      </c>
      <c r="G129" s="4">
        <f t="shared" si="52"/>
        <v>0</v>
      </c>
      <c r="H129" s="4">
        <f t="shared" si="85"/>
        <v>0</v>
      </c>
      <c r="I129" s="4">
        <f t="shared" si="86"/>
        <v>0</v>
      </c>
      <c r="J129" s="40"/>
    </row>
    <row r="130" spans="1:10" x14ac:dyDescent="0.25">
      <c r="A130" s="8">
        <v>45685</v>
      </c>
      <c r="B130" s="7">
        <v>2660.88</v>
      </c>
      <c r="C130" s="7">
        <v>41551.72</v>
      </c>
      <c r="D130" s="7">
        <v>3027.73</v>
      </c>
      <c r="E130" s="36">
        <f t="shared" si="13"/>
        <v>47240.33</v>
      </c>
      <c r="F130" s="4">
        <f t="shared" si="51"/>
        <v>0</v>
      </c>
      <c r="G130" s="4">
        <f t="shared" si="52"/>
        <v>0</v>
      </c>
      <c r="H130" s="4">
        <f t="shared" ref="H130:H131" si="87">D130-D129</f>
        <v>0</v>
      </c>
      <c r="I130" s="4">
        <f t="shared" ref="I130:I131" si="88">SUM(F130:H130)</f>
        <v>0</v>
      </c>
      <c r="J130" s="40"/>
    </row>
    <row r="131" spans="1:10" x14ac:dyDescent="0.25">
      <c r="A131" s="8">
        <v>45686</v>
      </c>
      <c r="B131" s="7">
        <v>2662.77</v>
      </c>
      <c r="C131" s="7">
        <v>41583.199999999997</v>
      </c>
      <c r="D131" s="7">
        <v>3030.21</v>
      </c>
      <c r="E131" s="36">
        <f t="shared" si="13"/>
        <v>47276.179999999993</v>
      </c>
      <c r="F131" s="4">
        <f t="shared" si="51"/>
        <v>1.8899999999998727</v>
      </c>
      <c r="G131" s="4">
        <f t="shared" si="52"/>
        <v>31.479999999995925</v>
      </c>
      <c r="H131" s="4">
        <f t="shared" si="87"/>
        <v>2.4800000000000182</v>
      </c>
      <c r="I131" s="4">
        <f t="shared" si="88"/>
        <v>35.849999999995816</v>
      </c>
      <c r="J131" s="40"/>
    </row>
    <row r="132" spans="1:10" x14ac:dyDescent="0.25">
      <c r="A132" s="8">
        <v>45687</v>
      </c>
      <c r="B132" s="7">
        <v>2663.72</v>
      </c>
      <c r="C132" s="7">
        <v>41598.94</v>
      </c>
      <c r="D132" s="7">
        <v>3031.46</v>
      </c>
      <c r="E132" s="36">
        <f t="shared" ref="E132:E195" si="89">SUM(B132:D132)</f>
        <v>47294.12</v>
      </c>
      <c r="F132" s="4">
        <f t="shared" si="51"/>
        <v>0.9499999999998181</v>
      </c>
      <c r="G132" s="4">
        <f t="shared" si="52"/>
        <v>15.740000000005239</v>
      </c>
      <c r="H132" s="4">
        <f t="shared" ref="H132" si="90">D132-D131</f>
        <v>1.25</v>
      </c>
      <c r="I132" s="4">
        <f t="shared" ref="I132" si="91">SUM(F132:H132)</f>
        <v>17.940000000005057</v>
      </c>
      <c r="J132" s="40"/>
    </row>
    <row r="133" spans="1:10" x14ac:dyDescent="0.25">
      <c r="A133" s="8">
        <v>45688</v>
      </c>
      <c r="B133" s="7">
        <v>2664.73</v>
      </c>
      <c r="C133" s="7">
        <v>41621.230000000003</v>
      </c>
      <c r="D133" s="7">
        <v>3032.8</v>
      </c>
      <c r="E133" s="36">
        <f t="shared" si="89"/>
        <v>47318.760000000009</v>
      </c>
      <c r="F133" s="4">
        <f t="shared" si="51"/>
        <v>1.0100000000002183</v>
      </c>
      <c r="G133" s="4">
        <f t="shared" si="52"/>
        <v>22.290000000000873</v>
      </c>
      <c r="H133" s="4">
        <f t="shared" ref="H133" si="92">D133-D132</f>
        <v>1.3400000000001455</v>
      </c>
      <c r="I133" s="4">
        <f t="shared" ref="I133" si="93">SUM(F133:H133)</f>
        <v>24.640000000001237</v>
      </c>
      <c r="J133" s="40"/>
    </row>
    <row r="134" spans="1:10" x14ac:dyDescent="0.25">
      <c r="A134" s="5" t="s">
        <v>6</v>
      </c>
      <c r="B134" s="5"/>
      <c r="C134" s="5"/>
      <c r="D134" s="5"/>
      <c r="E134" s="5"/>
      <c r="F134" s="6">
        <f>SUM(F101:F133)</f>
        <v>21.099999999999909</v>
      </c>
      <c r="G134" s="6">
        <f t="shared" ref="G134:I134" si="94">SUM(G101:G133)</f>
        <v>351.44000000000233</v>
      </c>
      <c r="H134" s="6">
        <f t="shared" si="94"/>
        <v>24.840000000000146</v>
      </c>
      <c r="I134" s="6">
        <f t="shared" si="94"/>
        <v>397.38000000000238</v>
      </c>
      <c r="J134" s="40"/>
    </row>
    <row r="135" spans="1:10" x14ac:dyDescent="0.25">
      <c r="A135" s="12" t="s">
        <v>7</v>
      </c>
      <c r="B135" s="13">
        <v>2664.73</v>
      </c>
      <c r="C135" s="13">
        <v>41621.230000000003</v>
      </c>
      <c r="D135" s="15">
        <v>4032.8</v>
      </c>
      <c r="E135" s="36">
        <f t="shared" si="89"/>
        <v>48318.760000000009</v>
      </c>
      <c r="F135" s="13"/>
      <c r="G135" s="13"/>
      <c r="H135" s="13"/>
      <c r="I135" s="13"/>
      <c r="J135" s="40"/>
    </row>
    <row r="136" spans="1:10" x14ac:dyDescent="0.25">
      <c r="A136" s="8">
        <v>45689</v>
      </c>
      <c r="B136" s="4">
        <v>2665.74</v>
      </c>
      <c r="C136" s="4">
        <v>41638.25</v>
      </c>
      <c r="D136" s="4">
        <v>4034.57</v>
      </c>
      <c r="E136" s="36">
        <f t="shared" si="89"/>
        <v>48338.559999999998</v>
      </c>
      <c r="F136" s="4">
        <f>B136-B135</f>
        <v>1.0099999999997635</v>
      </c>
      <c r="G136" s="4">
        <f>C136-C135</f>
        <v>17.019999999996799</v>
      </c>
      <c r="H136" s="4">
        <f>D136-D135</f>
        <v>1.7699999999999818</v>
      </c>
      <c r="I136" s="4">
        <f>SUM(F136:H136)</f>
        <v>19.799999999996544</v>
      </c>
      <c r="J136" s="40"/>
    </row>
    <row r="137" spans="1:10" x14ac:dyDescent="0.25">
      <c r="A137" s="8">
        <v>45690</v>
      </c>
      <c r="B137" s="4">
        <v>2665.74</v>
      </c>
      <c r="C137" s="4">
        <v>41638.25</v>
      </c>
      <c r="D137" s="4">
        <v>4034.57</v>
      </c>
      <c r="E137" s="36">
        <f t="shared" si="89"/>
        <v>48338.559999999998</v>
      </c>
      <c r="F137" s="4">
        <f t="shared" ref="F137:G141" si="95">B137-B136</f>
        <v>0</v>
      </c>
      <c r="G137" s="4">
        <f t="shared" si="95"/>
        <v>0</v>
      </c>
      <c r="H137" s="4">
        <f t="shared" ref="H137:H138" si="96">D137-D136</f>
        <v>0</v>
      </c>
      <c r="I137" s="4">
        <f t="shared" ref="I137:I138" si="97">SUM(F137:H137)</f>
        <v>0</v>
      </c>
      <c r="J137" s="40"/>
    </row>
    <row r="138" spans="1:10" x14ac:dyDescent="0.25">
      <c r="A138" s="8">
        <v>45691</v>
      </c>
      <c r="B138" s="4">
        <v>2665.74</v>
      </c>
      <c r="C138" s="4">
        <v>41638.25</v>
      </c>
      <c r="D138" s="4">
        <v>4034.57</v>
      </c>
      <c r="E138" s="36">
        <f t="shared" si="89"/>
        <v>48338.559999999998</v>
      </c>
      <c r="F138" s="4">
        <f t="shared" si="95"/>
        <v>0</v>
      </c>
      <c r="G138" s="4">
        <f t="shared" si="95"/>
        <v>0</v>
      </c>
      <c r="H138" s="4">
        <f t="shared" si="96"/>
        <v>0</v>
      </c>
      <c r="I138" s="4">
        <f t="shared" si="97"/>
        <v>0</v>
      </c>
      <c r="J138" s="40"/>
    </row>
    <row r="139" spans="1:10" x14ac:dyDescent="0.25">
      <c r="A139" s="8">
        <v>45692</v>
      </c>
      <c r="B139" s="4">
        <v>2666.76</v>
      </c>
      <c r="C139" s="4">
        <v>41655.279999999999</v>
      </c>
      <c r="D139" s="4">
        <v>4036.35</v>
      </c>
      <c r="E139" s="36">
        <f t="shared" si="89"/>
        <v>48358.39</v>
      </c>
      <c r="F139" s="4">
        <f t="shared" si="95"/>
        <v>1.0200000000004366</v>
      </c>
      <c r="G139" s="4">
        <f t="shared" si="95"/>
        <v>17.029999999998836</v>
      </c>
      <c r="H139" s="4">
        <f t="shared" ref="H139" si="98">D139-D138</f>
        <v>1.7799999999997453</v>
      </c>
      <c r="I139" s="4">
        <f t="shared" ref="I139" si="99">SUM(F139:H139)</f>
        <v>19.829999999999018</v>
      </c>
      <c r="J139" s="40"/>
    </row>
    <row r="140" spans="1:10" x14ac:dyDescent="0.25">
      <c r="A140" s="8">
        <v>45693</v>
      </c>
      <c r="B140" s="4">
        <v>2667.77</v>
      </c>
      <c r="C140" s="4">
        <v>41672.29</v>
      </c>
      <c r="D140" s="4">
        <v>4038.13</v>
      </c>
      <c r="E140" s="36">
        <f t="shared" si="89"/>
        <v>48378.189999999995</v>
      </c>
      <c r="F140" s="4">
        <f t="shared" si="95"/>
        <v>1.0099999999997635</v>
      </c>
      <c r="G140" s="4">
        <f t="shared" si="95"/>
        <v>17.010000000002037</v>
      </c>
      <c r="H140" s="4">
        <f t="shared" ref="H140" si="100">D140-D139</f>
        <v>1.7800000000002001</v>
      </c>
      <c r="I140" s="4">
        <f t="shared" ref="I140" si="101">SUM(F140:H140)</f>
        <v>19.800000000002001</v>
      </c>
      <c r="J140" s="40"/>
    </row>
    <row r="141" spans="1:10" x14ac:dyDescent="0.25">
      <c r="A141" s="8">
        <v>45694</v>
      </c>
      <c r="B141" s="4">
        <v>2668.78</v>
      </c>
      <c r="C141" s="4">
        <v>41689.33</v>
      </c>
      <c r="D141" s="4">
        <v>4039.91</v>
      </c>
      <c r="E141" s="36">
        <f t="shared" si="89"/>
        <v>48398.020000000004</v>
      </c>
      <c r="F141" s="4">
        <f t="shared" si="95"/>
        <v>1.0100000000002183</v>
      </c>
      <c r="G141" s="4">
        <f t="shared" si="95"/>
        <v>17.040000000000873</v>
      </c>
      <c r="H141" s="4">
        <f t="shared" ref="H141" si="102">D141-D140</f>
        <v>1.7799999999997453</v>
      </c>
      <c r="I141" s="4">
        <f t="shared" ref="I141:I143" si="103">SUM(F141:H141)</f>
        <v>19.830000000000837</v>
      </c>
      <c r="J141" s="40"/>
    </row>
    <row r="142" spans="1:10" x14ac:dyDescent="0.25">
      <c r="A142" s="12" t="s">
        <v>7</v>
      </c>
      <c r="B142" s="13">
        <v>2668.78</v>
      </c>
      <c r="C142" s="13">
        <v>41689.33</v>
      </c>
      <c r="D142" s="15">
        <v>5039.91</v>
      </c>
      <c r="E142" s="36">
        <f t="shared" si="89"/>
        <v>49398.020000000004</v>
      </c>
      <c r="F142" s="13"/>
      <c r="G142" s="13"/>
      <c r="H142" s="13"/>
      <c r="I142" s="13"/>
      <c r="J142" s="40"/>
    </row>
    <row r="143" spans="1:10" x14ac:dyDescent="0.25">
      <c r="A143" s="8">
        <v>45695</v>
      </c>
      <c r="B143" s="4">
        <v>2669.81</v>
      </c>
      <c r="C143" s="4">
        <v>41706.339999999997</v>
      </c>
      <c r="D143" s="4">
        <v>5042.13</v>
      </c>
      <c r="E143" s="36">
        <f t="shared" si="89"/>
        <v>49418.279999999992</v>
      </c>
      <c r="F143" s="4">
        <f t="shared" ref="F143:F164" si="104">B143-B142</f>
        <v>1.0299999999997453</v>
      </c>
      <c r="G143" s="4">
        <f t="shared" ref="G143:G164" si="105">C143-C142</f>
        <v>17.009999999994761</v>
      </c>
      <c r="H143" s="4">
        <f t="shared" ref="H143" si="106">D143-D142</f>
        <v>2.2200000000002547</v>
      </c>
      <c r="I143" s="4">
        <f t="shared" si="103"/>
        <v>20.259999999994761</v>
      </c>
      <c r="J143" s="40"/>
    </row>
    <row r="144" spans="1:10" x14ac:dyDescent="0.25">
      <c r="A144" s="8">
        <v>45696</v>
      </c>
      <c r="B144" s="4">
        <v>2670.82</v>
      </c>
      <c r="C144" s="4">
        <v>41723.410000000003</v>
      </c>
      <c r="D144" s="4">
        <v>5044.37</v>
      </c>
      <c r="E144" s="36">
        <f t="shared" si="89"/>
        <v>49438.600000000006</v>
      </c>
      <c r="F144" s="4">
        <f t="shared" si="104"/>
        <v>1.0100000000002183</v>
      </c>
      <c r="G144" s="4">
        <f t="shared" si="105"/>
        <v>17.070000000006985</v>
      </c>
      <c r="H144" s="4">
        <f t="shared" ref="H144" si="107">D144-D143</f>
        <v>2.2399999999997817</v>
      </c>
      <c r="I144" s="4">
        <f t="shared" ref="I144" si="108">SUM(F144:H144)</f>
        <v>20.320000000006985</v>
      </c>
      <c r="J144" s="40"/>
    </row>
    <row r="145" spans="1:10" x14ac:dyDescent="0.25">
      <c r="A145" s="8">
        <v>45697</v>
      </c>
      <c r="B145" s="4">
        <v>2670.82</v>
      </c>
      <c r="C145" s="4">
        <v>41723.410000000003</v>
      </c>
      <c r="D145" s="4">
        <v>5044.37</v>
      </c>
      <c r="E145" s="36">
        <f t="shared" si="89"/>
        <v>49438.600000000006</v>
      </c>
      <c r="F145" s="4">
        <f t="shared" si="104"/>
        <v>0</v>
      </c>
      <c r="G145" s="4">
        <f t="shared" si="105"/>
        <v>0</v>
      </c>
      <c r="H145" s="4">
        <f t="shared" ref="H145:H146" si="109">D145-D144</f>
        <v>0</v>
      </c>
      <c r="I145" s="4">
        <f t="shared" ref="I145:I146" si="110">SUM(F145:H145)</f>
        <v>0</v>
      </c>
      <c r="J145" s="40"/>
    </row>
    <row r="146" spans="1:10" x14ac:dyDescent="0.25">
      <c r="A146" s="8">
        <v>45698</v>
      </c>
      <c r="B146" s="4">
        <v>2670.82</v>
      </c>
      <c r="C146" s="4">
        <v>41723.410000000003</v>
      </c>
      <c r="D146" s="4">
        <v>5044.37</v>
      </c>
      <c r="E146" s="36">
        <f t="shared" si="89"/>
        <v>49438.600000000006</v>
      </c>
      <c r="F146" s="4">
        <f t="shared" si="104"/>
        <v>0</v>
      </c>
      <c r="G146" s="4">
        <f t="shared" si="105"/>
        <v>0</v>
      </c>
      <c r="H146" s="4">
        <f t="shared" si="109"/>
        <v>0</v>
      </c>
      <c r="I146" s="4">
        <f t="shared" si="110"/>
        <v>0</v>
      </c>
      <c r="J146" s="40"/>
    </row>
    <row r="147" spans="1:10" x14ac:dyDescent="0.25">
      <c r="A147" s="8">
        <v>45699</v>
      </c>
      <c r="B147" s="4">
        <v>2671.84</v>
      </c>
      <c r="C147" s="4">
        <v>41740.44</v>
      </c>
      <c r="D147" s="4">
        <v>5046.59</v>
      </c>
      <c r="E147" s="36">
        <f t="shared" si="89"/>
        <v>49458.869999999995</v>
      </c>
      <c r="F147" s="4">
        <f t="shared" si="104"/>
        <v>1.0199999999999818</v>
      </c>
      <c r="G147" s="4">
        <f t="shared" si="105"/>
        <v>17.029999999998836</v>
      </c>
      <c r="H147" s="4">
        <f t="shared" ref="H147" si="111">D147-D146</f>
        <v>2.2200000000002547</v>
      </c>
      <c r="I147" s="4">
        <f t="shared" ref="I147" si="112">SUM(F147:H147)</f>
        <v>20.269999999999072</v>
      </c>
      <c r="J147" s="40"/>
    </row>
    <row r="148" spans="1:10" x14ac:dyDescent="0.25">
      <c r="A148" s="8">
        <v>45700</v>
      </c>
      <c r="B148" s="4">
        <v>2672.86</v>
      </c>
      <c r="C148" s="4">
        <v>41757.519999999997</v>
      </c>
      <c r="D148" s="4">
        <v>5048.83</v>
      </c>
      <c r="E148" s="36">
        <f t="shared" si="89"/>
        <v>49479.21</v>
      </c>
      <c r="F148" s="4">
        <f t="shared" si="104"/>
        <v>1.0199999999999818</v>
      </c>
      <c r="G148" s="4">
        <f t="shared" si="105"/>
        <v>17.07999999999447</v>
      </c>
      <c r="H148" s="4">
        <f t="shared" ref="H148" si="113">D148-D147</f>
        <v>2.2399999999997817</v>
      </c>
      <c r="I148" s="4">
        <f t="shared" ref="I148" si="114">SUM(F148:H148)</f>
        <v>20.339999999994234</v>
      </c>
      <c r="J148" s="40"/>
    </row>
    <row r="149" spans="1:10" x14ac:dyDescent="0.25">
      <c r="A149" s="8">
        <v>45701</v>
      </c>
      <c r="B149" s="4">
        <v>2673.89</v>
      </c>
      <c r="C149" s="4">
        <v>41774.589999999997</v>
      </c>
      <c r="D149" s="4">
        <v>5051.05</v>
      </c>
      <c r="E149" s="36">
        <f t="shared" si="89"/>
        <v>49499.53</v>
      </c>
      <c r="F149" s="4">
        <f t="shared" si="104"/>
        <v>1.0299999999997453</v>
      </c>
      <c r="G149" s="4">
        <f t="shared" si="105"/>
        <v>17.069999999999709</v>
      </c>
      <c r="H149" s="4">
        <f t="shared" ref="H149" si="115">D149-D148</f>
        <v>2.2200000000002547</v>
      </c>
      <c r="I149" s="4">
        <f t="shared" ref="I149" si="116">SUM(F149:H149)</f>
        <v>20.319999999999709</v>
      </c>
      <c r="J149" s="40"/>
    </row>
    <row r="150" spans="1:10" x14ac:dyDescent="0.25">
      <c r="A150" s="8">
        <v>45702</v>
      </c>
      <c r="B150" s="4">
        <v>2674.89</v>
      </c>
      <c r="C150" s="4">
        <v>41791.65</v>
      </c>
      <c r="D150" s="4">
        <v>5053.3</v>
      </c>
      <c r="E150" s="36">
        <f t="shared" si="89"/>
        <v>49519.840000000004</v>
      </c>
      <c r="F150" s="4">
        <f t="shared" si="104"/>
        <v>1</v>
      </c>
      <c r="G150" s="4">
        <f t="shared" si="105"/>
        <v>17.060000000004948</v>
      </c>
      <c r="H150" s="4">
        <f t="shared" ref="H150" si="117">D150-D149</f>
        <v>2.25</v>
      </c>
      <c r="I150" s="4">
        <f t="shared" ref="I150" si="118">SUM(F150:H150)</f>
        <v>20.310000000004948</v>
      </c>
      <c r="J150" s="40"/>
    </row>
    <row r="151" spans="1:10" x14ac:dyDescent="0.25">
      <c r="A151" s="8">
        <v>45703</v>
      </c>
      <c r="B151" s="4">
        <v>2675.92</v>
      </c>
      <c r="C151" s="4">
        <v>41808.769999999997</v>
      </c>
      <c r="D151" s="4">
        <v>5055.53</v>
      </c>
      <c r="E151" s="36">
        <f t="shared" si="89"/>
        <v>49540.219999999994</v>
      </c>
      <c r="F151" s="4">
        <f t="shared" si="104"/>
        <v>1.0300000000002001</v>
      </c>
      <c r="G151" s="4">
        <f t="shared" si="105"/>
        <v>17.119999999995343</v>
      </c>
      <c r="H151" s="4">
        <f t="shared" ref="H151" si="119">D151-D150</f>
        <v>2.2299999999995634</v>
      </c>
      <c r="I151" s="4">
        <f t="shared" ref="I151" si="120">SUM(F151:H151)</f>
        <v>20.379999999995107</v>
      </c>
      <c r="J151" s="40"/>
    </row>
    <row r="152" spans="1:10" x14ac:dyDescent="0.25">
      <c r="A152" s="8">
        <v>45704</v>
      </c>
      <c r="B152" s="4">
        <v>2675.92</v>
      </c>
      <c r="C152" s="4">
        <v>41808.769999999997</v>
      </c>
      <c r="D152" s="4">
        <v>5055.53</v>
      </c>
      <c r="E152" s="36">
        <f t="shared" si="89"/>
        <v>49540.219999999994</v>
      </c>
      <c r="F152" s="4">
        <f t="shared" si="104"/>
        <v>0</v>
      </c>
      <c r="G152" s="4">
        <f t="shared" si="105"/>
        <v>0</v>
      </c>
      <c r="H152" s="4">
        <f t="shared" ref="H152:H153" si="121">D152-D151</f>
        <v>0</v>
      </c>
      <c r="I152" s="4">
        <f t="shared" ref="I152:I153" si="122">SUM(F152:H152)</f>
        <v>0</v>
      </c>
      <c r="J152" s="40"/>
    </row>
    <row r="153" spans="1:10" x14ac:dyDescent="0.25">
      <c r="A153" s="8">
        <v>45705</v>
      </c>
      <c r="B153" s="4">
        <v>2675.92</v>
      </c>
      <c r="C153" s="4">
        <v>41808.769999999997</v>
      </c>
      <c r="D153" s="4">
        <v>5055.53</v>
      </c>
      <c r="E153" s="36">
        <f t="shared" si="89"/>
        <v>49540.219999999994</v>
      </c>
      <c r="F153" s="4">
        <f t="shared" si="104"/>
        <v>0</v>
      </c>
      <c r="G153" s="4">
        <f t="shared" si="105"/>
        <v>0</v>
      </c>
      <c r="H153" s="4">
        <f t="shared" si="121"/>
        <v>0</v>
      </c>
      <c r="I153" s="4">
        <f t="shared" si="122"/>
        <v>0</v>
      </c>
      <c r="J153" s="40"/>
    </row>
    <row r="154" spans="1:10" x14ac:dyDescent="0.25">
      <c r="A154" s="8">
        <v>45706</v>
      </c>
      <c r="B154" s="4">
        <v>2676.94</v>
      </c>
      <c r="C154" s="4">
        <v>41825.870000000003</v>
      </c>
      <c r="D154" s="4">
        <v>5057.76</v>
      </c>
      <c r="E154" s="36">
        <f t="shared" si="89"/>
        <v>49560.570000000007</v>
      </c>
      <c r="F154" s="4">
        <f t="shared" si="104"/>
        <v>1.0199999999999818</v>
      </c>
      <c r="G154" s="4">
        <f t="shared" si="105"/>
        <v>17.100000000005821</v>
      </c>
      <c r="H154" s="4">
        <f t="shared" ref="H154" si="123">D154-D153</f>
        <v>2.2300000000004729</v>
      </c>
      <c r="I154" s="4">
        <f t="shared" ref="I154" si="124">SUM(F154:H154)</f>
        <v>20.350000000006276</v>
      </c>
      <c r="J154" s="40"/>
    </row>
    <row r="155" spans="1:10" x14ac:dyDescent="0.25">
      <c r="A155" s="8">
        <v>45707</v>
      </c>
      <c r="B155" s="4">
        <v>2677.96</v>
      </c>
      <c r="C155" s="4">
        <v>41842.99</v>
      </c>
      <c r="D155" s="4">
        <v>5060.01</v>
      </c>
      <c r="E155" s="36">
        <f t="shared" si="89"/>
        <v>49580.959999999999</v>
      </c>
      <c r="F155" s="4">
        <f t="shared" si="104"/>
        <v>1.0199999999999818</v>
      </c>
      <c r="G155" s="4">
        <f t="shared" si="105"/>
        <v>17.119999999995343</v>
      </c>
      <c r="H155" s="4">
        <f t="shared" ref="H155" si="125">D155-D154</f>
        <v>2.25</v>
      </c>
      <c r="I155" s="4">
        <f t="shared" ref="I155" si="126">SUM(F155:H155)</f>
        <v>20.389999999995325</v>
      </c>
      <c r="J155" s="40"/>
    </row>
    <row r="156" spans="1:10" x14ac:dyDescent="0.25">
      <c r="A156" s="8">
        <v>45708</v>
      </c>
      <c r="B156" s="4">
        <v>2678.98</v>
      </c>
      <c r="C156" s="4">
        <v>41860.1</v>
      </c>
      <c r="D156" s="4">
        <v>5062.25</v>
      </c>
      <c r="E156" s="36">
        <f t="shared" si="89"/>
        <v>49601.33</v>
      </c>
      <c r="F156" s="4">
        <f t="shared" si="104"/>
        <v>1.0199999999999818</v>
      </c>
      <c r="G156" s="4">
        <f t="shared" si="105"/>
        <v>17.110000000000582</v>
      </c>
      <c r="H156" s="4">
        <f t="shared" ref="H156" si="127">D156-D155</f>
        <v>2.2399999999997817</v>
      </c>
      <c r="I156" s="4">
        <f t="shared" ref="I156" si="128">SUM(F156:H156)</f>
        <v>20.370000000000346</v>
      </c>
      <c r="J156" s="40"/>
    </row>
    <row r="157" spans="1:10" x14ac:dyDescent="0.25">
      <c r="A157" s="8">
        <v>45709</v>
      </c>
      <c r="B157" s="4">
        <v>2680.01</v>
      </c>
      <c r="C157" s="4">
        <v>41877.21</v>
      </c>
      <c r="D157" s="4">
        <v>5064.49</v>
      </c>
      <c r="E157" s="36">
        <f t="shared" si="89"/>
        <v>49621.71</v>
      </c>
      <c r="F157" s="4">
        <f t="shared" si="104"/>
        <v>1.0300000000002001</v>
      </c>
      <c r="G157" s="4">
        <f t="shared" si="105"/>
        <v>17.110000000000582</v>
      </c>
      <c r="H157" s="4">
        <f t="shared" ref="H157" si="129">D157-D156</f>
        <v>2.2399999999997817</v>
      </c>
      <c r="I157" s="4">
        <f t="shared" ref="I157" si="130">SUM(F157:H157)</f>
        <v>20.380000000000564</v>
      </c>
      <c r="J157" s="40"/>
    </row>
    <row r="158" spans="1:10" x14ac:dyDescent="0.25">
      <c r="A158" s="8">
        <v>45710</v>
      </c>
      <c r="B158" s="4">
        <v>2681.04</v>
      </c>
      <c r="C158" s="4">
        <v>41894.370000000003</v>
      </c>
      <c r="D158" s="4">
        <v>5066.71</v>
      </c>
      <c r="E158" s="36">
        <f t="shared" si="89"/>
        <v>49642.12</v>
      </c>
      <c r="F158" s="4">
        <f t="shared" si="104"/>
        <v>1.0299999999997453</v>
      </c>
      <c r="G158" s="4">
        <f t="shared" si="105"/>
        <v>17.160000000003492</v>
      </c>
      <c r="H158" s="4">
        <f t="shared" ref="H158" si="131">D158-D157</f>
        <v>2.2200000000002547</v>
      </c>
      <c r="I158" s="4">
        <f t="shared" ref="I158" si="132">SUM(F158:H158)</f>
        <v>20.410000000003492</v>
      </c>
      <c r="J158" s="40"/>
    </row>
    <row r="159" spans="1:10" x14ac:dyDescent="0.25">
      <c r="A159" s="8">
        <v>45711</v>
      </c>
      <c r="B159" s="4">
        <v>2681.04</v>
      </c>
      <c r="C159" s="4">
        <v>41894.370000000003</v>
      </c>
      <c r="D159" s="4">
        <v>5066.71</v>
      </c>
      <c r="E159" s="36">
        <f t="shared" si="89"/>
        <v>49642.12</v>
      </c>
      <c r="F159" s="4">
        <f t="shared" si="104"/>
        <v>0</v>
      </c>
      <c r="G159" s="4">
        <f t="shared" si="105"/>
        <v>0</v>
      </c>
      <c r="H159" s="4">
        <f t="shared" ref="H159:H160" si="133">D159-D158</f>
        <v>0</v>
      </c>
      <c r="I159" s="4">
        <f t="shared" ref="I159:I160" si="134">SUM(F159:H159)</f>
        <v>0</v>
      </c>
      <c r="J159" s="40"/>
    </row>
    <row r="160" spans="1:10" x14ac:dyDescent="0.25">
      <c r="A160" s="8">
        <v>45712</v>
      </c>
      <c r="B160" s="4">
        <v>2681.04</v>
      </c>
      <c r="C160" s="4">
        <v>41894.370000000003</v>
      </c>
      <c r="D160" s="4">
        <v>5066.71</v>
      </c>
      <c r="E160" s="36">
        <f t="shared" si="89"/>
        <v>49642.12</v>
      </c>
      <c r="F160" s="4">
        <f t="shared" si="104"/>
        <v>0</v>
      </c>
      <c r="G160" s="4">
        <f t="shared" si="105"/>
        <v>0</v>
      </c>
      <c r="H160" s="4">
        <f t="shared" si="133"/>
        <v>0</v>
      </c>
      <c r="I160" s="4">
        <f t="shared" si="134"/>
        <v>0</v>
      </c>
      <c r="J160" s="40"/>
    </row>
    <row r="161" spans="1:10" x14ac:dyDescent="0.25">
      <c r="A161" s="8">
        <v>45713</v>
      </c>
      <c r="B161" s="4">
        <v>2682.88</v>
      </c>
      <c r="C161" s="4">
        <v>41911.49</v>
      </c>
      <c r="D161" s="4">
        <v>5068.95</v>
      </c>
      <c r="E161" s="36">
        <f t="shared" si="89"/>
        <v>49663.319999999992</v>
      </c>
      <c r="F161" s="4">
        <f t="shared" si="104"/>
        <v>1.8400000000001455</v>
      </c>
      <c r="G161" s="4">
        <f t="shared" si="105"/>
        <v>17.119999999995343</v>
      </c>
      <c r="H161" s="4">
        <f t="shared" ref="H161" si="135">D161-D160</f>
        <v>2.2399999999997817</v>
      </c>
      <c r="I161" s="4">
        <f t="shared" ref="I161" si="136">SUM(F161:H161)</f>
        <v>21.199999999995271</v>
      </c>
      <c r="J161" s="40"/>
    </row>
    <row r="162" spans="1:10" x14ac:dyDescent="0.25">
      <c r="A162" s="8">
        <v>45714</v>
      </c>
      <c r="B162" s="4">
        <v>2683.91</v>
      </c>
      <c r="C162" s="4">
        <v>41928.639999999999</v>
      </c>
      <c r="D162" s="4">
        <v>5071.21</v>
      </c>
      <c r="E162" s="36">
        <f t="shared" si="89"/>
        <v>49683.76</v>
      </c>
      <c r="F162" s="4">
        <f t="shared" si="104"/>
        <v>1.0299999999997453</v>
      </c>
      <c r="G162" s="4">
        <f t="shared" si="105"/>
        <v>17.150000000001455</v>
      </c>
      <c r="H162" s="4">
        <f t="shared" ref="H162" si="137">D162-D161</f>
        <v>2.2600000000002183</v>
      </c>
      <c r="I162" s="4">
        <f t="shared" ref="I162" si="138">SUM(F162:H162)</f>
        <v>20.440000000001419</v>
      </c>
      <c r="J162" s="40"/>
    </row>
    <row r="163" spans="1:10" x14ac:dyDescent="0.25">
      <c r="A163" s="8">
        <v>45715</v>
      </c>
      <c r="B163" s="4">
        <v>2684.93</v>
      </c>
      <c r="C163" s="4">
        <v>41945.79</v>
      </c>
      <c r="D163" s="4">
        <v>5073.45</v>
      </c>
      <c r="E163" s="36">
        <f t="shared" si="89"/>
        <v>49704.17</v>
      </c>
      <c r="F163" s="4">
        <f t="shared" si="104"/>
        <v>1.0199999999999818</v>
      </c>
      <c r="G163" s="4">
        <f t="shared" si="105"/>
        <v>17.150000000001455</v>
      </c>
      <c r="H163" s="4">
        <f t="shared" ref="H163:H164" si="139">D163-D162</f>
        <v>2.2399999999997817</v>
      </c>
      <c r="I163" s="4">
        <f t="shared" ref="I163" si="140">SUM(F163:H163)</f>
        <v>20.410000000001219</v>
      </c>
      <c r="J163" s="40"/>
    </row>
    <row r="164" spans="1:10" x14ac:dyDescent="0.25">
      <c r="A164" s="8">
        <v>45716</v>
      </c>
      <c r="B164" s="4">
        <v>2685.98</v>
      </c>
      <c r="C164" s="4">
        <v>41962.96</v>
      </c>
      <c r="D164" s="4">
        <v>5075.7</v>
      </c>
      <c r="E164" s="36">
        <f t="shared" si="89"/>
        <v>49724.639999999999</v>
      </c>
      <c r="F164" s="4">
        <f t="shared" si="104"/>
        <v>1.0500000000001819</v>
      </c>
      <c r="G164" s="4">
        <f t="shared" si="105"/>
        <v>17.169999999998254</v>
      </c>
      <c r="H164" s="4">
        <f t="shared" si="139"/>
        <v>2.25</v>
      </c>
      <c r="I164" s="4">
        <f t="shared" ref="I164" si="141">SUM(F164:H164)</f>
        <v>20.469999999998436</v>
      </c>
      <c r="J164" s="40"/>
    </row>
    <row r="165" spans="1:10" x14ac:dyDescent="0.25">
      <c r="A165" s="5" t="s">
        <v>6</v>
      </c>
      <c r="B165" s="5"/>
      <c r="C165" s="5"/>
      <c r="D165" s="5"/>
      <c r="E165" s="5"/>
      <c r="F165" s="6">
        <f>SUM(F136:F164)</f>
        <v>21.25</v>
      </c>
      <c r="G165" s="6">
        <f t="shared" ref="G165:I165" si="142">SUM(G136:G164)</f>
        <v>341.72999999999593</v>
      </c>
      <c r="H165" s="6">
        <f t="shared" si="142"/>
        <v>42.899999999999636</v>
      </c>
      <c r="I165" s="6">
        <f t="shared" si="142"/>
        <v>405.87999999999556</v>
      </c>
      <c r="J165" s="40"/>
    </row>
    <row r="166" spans="1:10" x14ac:dyDescent="0.25">
      <c r="A166" s="8">
        <v>45717</v>
      </c>
      <c r="B166" s="4">
        <v>2687.01</v>
      </c>
      <c r="C166" s="4">
        <v>41997.96</v>
      </c>
      <c r="D166" s="4">
        <v>5077.93</v>
      </c>
      <c r="E166" s="36">
        <f t="shared" si="89"/>
        <v>49762.9</v>
      </c>
      <c r="F166" s="4">
        <f>B166-B164</f>
        <v>1.0300000000002001</v>
      </c>
      <c r="G166" s="4">
        <f>C166-C164</f>
        <v>35</v>
      </c>
      <c r="H166" s="4">
        <f>D166-D164</f>
        <v>2.2300000000004729</v>
      </c>
      <c r="I166" s="4">
        <f>SUM(F166:H166)</f>
        <v>38.260000000000673</v>
      </c>
      <c r="J166" s="40"/>
    </row>
    <row r="167" spans="1:10" x14ac:dyDescent="0.25">
      <c r="A167" s="8">
        <v>45718</v>
      </c>
      <c r="B167" s="4">
        <v>2687.01</v>
      </c>
      <c r="C167" s="4">
        <v>41997.96</v>
      </c>
      <c r="D167" s="4">
        <v>5077.93</v>
      </c>
      <c r="E167" s="36">
        <f t="shared" si="89"/>
        <v>49762.9</v>
      </c>
      <c r="F167" s="4">
        <f t="shared" ref="F167:G170" si="143">B167-B166</f>
        <v>0</v>
      </c>
      <c r="G167" s="4">
        <f t="shared" si="143"/>
        <v>0</v>
      </c>
      <c r="H167" s="4">
        <f t="shared" ref="H167:H168" si="144">D167-D166</f>
        <v>0</v>
      </c>
      <c r="I167" s="4">
        <f t="shared" ref="I167" si="145">SUM(F167:H167)</f>
        <v>0</v>
      </c>
      <c r="J167" s="40"/>
    </row>
    <row r="168" spans="1:10" x14ac:dyDescent="0.25">
      <c r="A168" s="8">
        <v>45719</v>
      </c>
      <c r="B168" s="4">
        <v>2687.01</v>
      </c>
      <c r="C168" s="4">
        <v>41997.96</v>
      </c>
      <c r="D168" s="4">
        <v>5077.93</v>
      </c>
      <c r="E168" s="36">
        <f t="shared" si="89"/>
        <v>49762.9</v>
      </c>
      <c r="F168" s="4">
        <f t="shared" si="143"/>
        <v>0</v>
      </c>
      <c r="G168" s="4">
        <f t="shared" si="143"/>
        <v>0</v>
      </c>
      <c r="H168" s="4">
        <f t="shared" si="144"/>
        <v>0</v>
      </c>
      <c r="I168" s="4">
        <f t="shared" ref="I168" si="146">SUM(F168:H168)</f>
        <v>0</v>
      </c>
      <c r="J168" s="40"/>
    </row>
    <row r="169" spans="1:10" x14ac:dyDescent="0.25">
      <c r="A169" s="8">
        <v>45720</v>
      </c>
      <c r="B169" s="4">
        <v>2687.01</v>
      </c>
      <c r="C169" s="4">
        <v>41997.96</v>
      </c>
      <c r="D169" s="4">
        <v>5077.93</v>
      </c>
      <c r="E169" s="36">
        <f t="shared" si="89"/>
        <v>49762.9</v>
      </c>
      <c r="F169" s="4">
        <f t="shared" si="143"/>
        <v>0</v>
      </c>
      <c r="G169" s="4">
        <f t="shared" si="143"/>
        <v>0</v>
      </c>
      <c r="H169" s="4">
        <f t="shared" ref="H169" si="147">D169-D168</f>
        <v>0</v>
      </c>
      <c r="I169" s="4">
        <f t="shared" ref="I169" si="148">SUM(F169:H169)</f>
        <v>0</v>
      </c>
      <c r="J169" s="40"/>
    </row>
    <row r="170" spans="1:10" x14ac:dyDescent="0.25">
      <c r="A170" s="8">
        <v>45721</v>
      </c>
      <c r="B170" s="4">
        <v>2687.01</v>
      </c>
      <c r="C170" s="4">
        <v>41997.96</v>
      </c>
      <c r="D170" s="4">
        <v>5077.93</v>
      </c>
      <c r="E170" s="36">
        <f t="shared" si="89"/>
        <v>49762.9</v>
      </c>
      <c r="F170" s="4">
        <f t="shared" si="143"/>
        <v>0</v>
      </c>
      <c r="G170" s="4">
        <f t="shared" si="143"/>
        <v>0</v>
      </c>
      <c r="H170" s="4">
        <f t="shared" ref="H170" si="149">D170-D169</f>
        <v>0</v>
      </c>
      <c r="I170" s="4">
        <f t="shared" ref="I170" si="150">SUM(F170:H170)</f>
        <v>0</v>
      </c>
      <c r="J170" s="40"/>
    </row>
    <row r="171" spans="1:10" x14ac:dyDescent="0.25">
      <c r="A171" s="12" t="s">
        <v>7</v>
      </c>
      <c r="B171" s="15">
        <v>3687.01</v>
      </c>
      <c r="C171" s="13">
        <v>41997.96</v>
      </c>
      <c r="D171" s="13">
        <v>5077.93</v>
      </c>
      <c r="E171" s="36">
        <f t="shared" si="89"/>
        <v>50762.9</v>
      </c>
      <c r="F171" s="13"/>
      <c r="G171" s="13"/>
      <c r="H171" s="13"/>
      <c r="I171" s="13"/>
      <c r="J171" s="40"/>
    </row>
    <row r="172" spans="1:10" x14ac:dyDescent="0.25">
      <c r="A172" s="8">
        <v>45722</v>
      </c>
      <c r="B172" s="4">
        <v>3688.04</v>
      </c>
      <c r="C172" s="4">
        <v>42015.19</v>
      </c>
      <c r="D172" s="4">
        <v>5080.1899999999996</v>
      </c>
      <c r="E172" s="36">
        <f t="shared" si="89"/>
        <v>50783.420000000006</v>
      </c>
      <c r="F172" s="4">
        <f>B172-B171</f>
        <v>1.0299999999997453</v>
      </c>
      <c r="G172" s="4">
        <f>C172-C171</f>
        <v>17.230000000003201</v>
      </c>
      <c r="H172" s="4">
        <f t="shared" ref="H172" si="151">D172-D171</f>
        <v>2.2599999999993088</v>
      </c>
      <c r="I172" s="4">
        <f t="shared" ref="I172" si="152">SUM(F172:H172)</f>
        <v>20.520000000002256</v>
      </c>
      <c r="J172" s="40"/>
    </row>
    <row r="173" spans="1:10" x14ac:dyDescent="0.25">
      <c r="A173" s="12" t="s">
        <v>7</v>
      </c>
      <c r="B173" s="15">
        <v>4688.04</v>
      </c>
      <c r="C173" s="13">
        <v>42015.19</v>
      </c>
      <c r="D173" s="13">
        <v>5080.1899999999996</v>
      </c>
      <c r="E173" s="36">
        <f t="shared" si="89"/>
        <v>51783.420000000006</v>
      </c>
      <c r="F173" s="13"/>
      <c r="G173" s="13"/>
      <c r="H173" s="13"/>
      <c r="I173" s="13"/>
      <c r="J173" s="40"/>
    </row>
    <row r="174" spans="1:10" x14ac:dyDescent="0.25">
      <c r="A174" s="8">
        <v>45723</v>
      </c>
      <c r="B174" s="7">
        <v>4688.04</v>
      </c>
      <c r="C174" s="7">
        <v>42015.19</v>
      </c>
      <c r="D174" s="7">
        <v>5080.1899999999996</v>
      </c>
      <c r="E174" s="36">
        <f t="shared" si="89"/>
        <v>51783.420000000006</v>
      </c>
      <c r="F174" s="4">
        <f t="shared" ref="F174:F193" si="153">B174-B173</f>
        <v>0</v>
      </c>
      <c r="G174" s="4">
        <f t="shared" ref="G174:G193" si="154">C174-C173</f>
        <v>0</v>
      </c>
      <c r="H174" s="4">
        <f t="shared" ref="H174" si="155">D174-D173</f>
        <v>0</v>
      </c>
      <c r="I174" s="4">
        <f t="shared" ref="I174" si="156">SUM(F174:H174)</f>
        <v>0</v>
      </c>
      <c r="J174" s="40"/>
    </row>
    <row r="175" spans="1:10" x14ac:dyDescent="0.25">
      <c r="A175" s="8">
        <v>45724</v>
      </c>
      <c r="B175" s="7">
        <v>4689.1499999999996</v>
      </c>
      <c r="C175" s="7">
        <v>42032.44</v>
      </c>
      <c r="D175" s="7">
        <v>5082.4399999999996</v>
      </c>
      <c r="E175" s="36">
        <f t="shared" si="89"/>
        <v>51804.030000000006</v>
      </c>
      <c r="F175" s="4">
        <f t="shared" si="153"/>
        <v>1.1099999999996726</v>
      </c>
      <c r="G175" s="4">
        <f t="shared" si="154"/>
        <v>17.25</v>
      </c>
      <c r="H175" s="4">
        <f t="shared" ref="H175" si="157">D175-D174</f>
        <v>2.25</v>
      </c>
      <c r="I175" s="4">
        <f t="shared" ref="I175" si="158">SUM(F175:H175)</f>
        <v>20.609999999999673</v>
      </c>
      <c r="J175" s="40"/>
    </row>
    <row r="176" spans="1:10" x14ac:dyDescent="0.25">
      <c r="A176" s="8">
        <v>45725</v>
      </c>
      <c r="B176" s="7">
        <v>4689.1499999999996</v>
      </c>
      <c r="C176" s="7">
        <v>42032.44</v>
      </c>
      <c r="D176" s="7">
        <v>5082.4399999999996</v>
      </c>
      <c r="E176" s="36">
        <f t="shared" si="89"/>
        <v>51804.030000000006</v>
      </c>
      <c r="F176" s="4">
        <f t="shared" si="153"/>
        <v>0</v>
      </c>
      <c r="G176" s="4">
        <f t="shared" si="154"/>
        <v>0</v>
      </c>
      <c r="H176" s="4">
        <f t="shared" ref="H176:H177" si="159">D176-D175</f>
        <v>0</v>
      </c>
      <c r="I176" s="4">
        <f t="shared" ref="I176:I177" si="160">SUM(F176:H176)</f>
        <v>0</v>
      </c>
      <c r="J176" s="40"/>
    </row>
    <row r="177" spans="1:10" x14ac:dyDescent="0.25">
      <c r="A177" s="8">
        <v>45726</v>
      </c>
      <c r="B177" s="7">
        <v>4689.1499999999996</v>
      </c>
      <c r="C177" s="7">
        <v>42032.44</v>
      </c>
      <c r="D177" s="7">
        <v>5082.4399999999996</v>
      </c>
      <c r="E177" s="36">
        <f t="shared" si="89"/>
        <v>51804.030000000006</v>
      </c>
      <c r="F177" s="4">
        <f t="shared" si="153"/>
        <v>0</v>
      </c>
      <c r="G177" s="4">
        <f t="shared" si="154"/>
        <v>0</v>
      </c>
      <c r="H177" s="4">
        <f t="shared" si="159"/>
        <v>0</v>
      </c>
      <c r="I177" s="4">
        <f t="shared" si="160"/>
        <v>0</v>
      </c>
      <c r="J177" s="40"/>
    </row>
    <row r="178" spans="1:10" x14ac:dyDescent="0.25">
      <c r="A178" s="8">
        <v>45727</v>
      </c>
      <c r="B178" s="7">
        <v>4692.33</v>
      </c>
      <c r="C178" s="7">
        <v>42066.95</v>
      </c>
      <c r="D178" s="7">
        <v>5086.93</v>
      </c>
      <c r="E178" s="36">
        <f t="shared" si="89"/>
        <v>51846.21</v>
      </c>
      <c r="F178" s="4">
        <f t="shared" si="153"/>
        <v>3.180000000000291</v>
      </c>
      <c r="G178" s="4">
        <f t="shared" si="154"/>
        <v>34.509999999994761</v>
      </c>
      <c r="H178" s="4">
        <f t="shared" ref="H178" si="161">D178-D177</f>
        <v>4.4900000000006912</v>
      </c>
      <c r="I178" s="4">
        <f t="shared" ref="I178" si="162">SUM(F178:H178)</f>
        <v>42.179999999995744</v>
      </c>
      <c r="J178" s="40"/>
    </row>
    <row r="179" spans="1:10" x14ac:dyDescent="0.25">
      <c r="A179" s="8">
        <v>45728</v>
      </c>
      <c r="B179" s="7">
        <v>4693.6499999999996</v>
      </c>
      <c r="C179" s="7">
        <v>42084.22</v>
      </c>
      <c r="D179" s="7">
        <v>5089.13</v>
      </c>
      <c r="E179" s="36">
        <f t="shared" si="89"/>
        <v>51867</v>
      </c>
      <c r="F179" s="4">
        <f t="shared" si="153"/>
        <v>1.319999999999709</v>
      </c>
      <c r="G179" s="4">
        <f t="shared" si="154"/>
        <v>17.270000000004075</v>
      </c>
      <c r="H179" s="4">
        <f t="shared" ref="H179" si="163">D179-D178</f>
        <v>2.1999999999998181</v>
      </c>
      <c r="I179" s="4">
        <f t="shared" ref="I179" si="164">SUM(F179:H179)</f>
        <v>20.790000000003602</v>
      </c>
      <c r="J179" s="40"/>
    </row>
    <row r="180" spans="1:10" x14ac:dyDescent="0.25">
      <c r="A180" s="8">
        <v>45729</v>
      </c>
      <c r="B180" s="7">
        <v>4694.97</v>
      </c>
      <c r="C180" s="7">
        <v>42101.52</v>
      </c>
      <c r="D180" s="7">
        <v>5091.43</v>
      </c>
      <c r="E180" s="36">
        <f t="shared" si="89"/>
        <v>51887.92</v>
      </c>
      <c r="F180" s="4">
        <f t="shared" si="153"/>
        <v>1.3200000000006185</v>
      </c>
      <c r="G180" s="4">
        <f t="shared" si="154"/>
        <v>17.299999999995634</v>
      </c>
      <c r="H180" s="4">
        <f t="shared" ref="H180" si="165">D180-D179</f>
        <v>2.3000000000001819</v>
      </c>
      <c r="I180" s="4">
        <f t="shared" ref="I180" si="166">SUM(F180:H180)</f>
        <v>20.919999999996435</v>
      </c>
      <c r="J180" s="40"/>
    </row>
    <row r="181" spans="1:10" x14ac:dyDescent="0.25">
      <c r="A181" s="8">
        <v>45730</v>
      </c>
      <c r="B181" s="7">
        <v>4696.37</v>
      </c>
      <c r="C181" s="7">
        <v>42118.77</v>
      </c>
      <c r="D181" s="7">
        <v>5093.6899999999996</v>
      </c>
      <c r="E181" s="36">
        <f t="shared" si="89"/>
        <v>51908.83</v>
      </c>
      <c r="F181" s="4">
        <f t="shared" si="153"/>
        <v>1.3999999999996362</v>
      </c>
      <c r="G181" s="4">
        <f t="shared" si="154"/>
        <v>17.25</v>
      </c>
      <c r="H181" s="4">
        <f t="shared" ref="H181" si="167">D181-D180</f>
        <v>2.2599999999993088</v>
      </c>
      <c r="I181" s="4">
        <f t="shared" ref="I181" si="168">SUM(F181:H181)</f>
        <v>20.909999999998945</v>
      </c>
      <c r="J181" s="40"/>
    </row>
    <row r="182" spans="1:10" x14ac:dyDescent="0.25">
      <c r="A182" s="8">
        <v>45731</v>
      </c>
      <c r="B182" s="7">
        <v>4698.21</v>
      </c>
      <c r="C182" s="7">
        <v>42136.08</v>
      </c>
      <c r="D182" s="7">
        <v>5095.93</v>
      </c>
      <c r="E182" s="36">
        <f t="shared" si="89"/>
        <v>51930.22</v>
      </c>
      <c r="F182" s="4">
        <f t="shared" si="153"/>
        <v>1.8400000000001455</v>
      </c>
      <c r="G182" s="4">
        <f t="shared" si="154"/>
        <v>17.310000000004948</v>
      </c>
      <c r="H182" s="4">
        <f t="shared" ref="H182" si="169">D182-D181</f>
        <v>2.2400000000006912</v>
      </c>
      <c r="I182" s="4">
        <f t="shared" ref="I182" si="170">SUM(F182:H182)</f>
        <v>21.390000000005784</v>
      </c>
      <c r="J182" s="40"/>
    </row>
    <row r="183" spans="1:10" x14ac:dyDescent="0.25">
      <c r="A183" s="8">
        <v>45732</v>
      </c>
      <c r="B183" s="7">
        <v>4698.21</v>
      </c>
      <c r="C183" s="7">
        <v>42136.08</v>
      </c>
      <c r="D183" s="7">
        <v>5095.93</v>
      </c>
      <c r="E183" s="36">
        <f t="shared" si="89"/>
        <v>51930.22</v>
      </c>
      <c r="F183" s="4">
        <f t="shared" si="153"/>
        <v>0</v>
      </c>
      <c r="G183" s="4">
        <f t="shared" si="154"/>
        <v>0</v>
      </c>
      <c r="H183" s="4">
        <f t="shared" ref="H183:H184" si="171">D183-D182</f>
        <v>0</v>
      </c>
      <c r="I183" s="4">
        <f t="shared" ref="I183:I184" si="172">SUM(F183:H183)</f>
        <v>0</v>
      </c>
      <c r="J183" s="40"/>
    </row>
    <row r="184" spans="1:10" x14ac:dyDescent="0.25">
      <c r="A184" s="8">
        <v>45733</v>
      </c>
      <c r="B184" s="7">
        <v>4698.21</v>
      </c>
      <c r="C184" s="7">
        <v>42136.08</v>
      </c>
      <c r="D184" s="7">
        <v>5095.93</v>
      </c>
      <c r="E184" s="36">
        <f t="shared" si="89"/>
        <v>51930.22</v>
      </c>
      <c r="F184" s="4">
        <f t="shared" si="153"/>
        <v>0</v>
      </c>
      <c r="G184" s="4">
        <f t="shared" si="154"/>
        <v>0</v>
      </c>
      <c r="H184" s="4">
        <f t="shared" si="171"/>
        <v>0</v>
      </c>
      <c r="I184" s="4">
        <f t="shared" si="172"/>
        <v>0</v>
      </c>
      <c r="J184" s="40"/>
    </row>
    <row r="185" spans="1:10" x14ac:dyDescent="0.25">
      <c r="A185" s="8">
        <v>45734</v>
      </c>
      <c r="B185" s="7">
        <v>4699.78</v>
      </c>
      <c r="C185" s="7">
        <v>42153.39</v>
      </c>
      <c r="D185" s="7">
        <v>5098.1899999999996</v>
      </c>
      <c r="E185" s="36">
        <f t="shared" si="89"/>
        <v>51951.360000000001</v>
      </c>
      <c r="F185" s="4">
        <f t="shared" si="153"/>
        <v>1.569999999999709</v>
      </c>
      <c r="G185" s="4">
        <f t="shared" si="154"/>
        <v>17.309999999997672</v>
      </c>
      <c r="H185" s="4">
        <f t="shared" ref="H185" si="173">D185-D184</f>
        <v>2.2599999999993088</v>
      </c>
      <c r="I185" s="4">
        <f t="shared" ref="I185" si="174">SUM(F185:H185)</f>
        <v>21.139999999996689</v>
      </c>
      <c r="J185" s="40"/>
    </row>
    <row r="186" spans="1:10" x14ac:dyDescent="0.25">
      <c r="A186" s="8">
        <v>45735</v>
      </c>
      <c r="B186" s="7">
        <v>4701.3999999999996</v>
      </c>
      <c r="C186" s="7">
        <v>42170.75</v>
      </c>
      <c r="D186" s="7">
        <v>5100.4399999999996</v>
      </c>
      <c r="E186" s="36">
        <f t="shared" si="89"/>
        <v>51972.590000000004</v>
      </c>
      <c r="F186" s="4">
        <f t="shared" si="153"/>
        <v>1.6199999999998909</v>
      </c>
      <c r="G186" s="4">
        <f t="shared" si="154"/>
        <v>17.360000000000582</v>
      </c>
      <c r="H186" s="4">
        <f t="shared" ref="H186" si="175">D186-D185</f>
        <v>2.25</v>
      </c>
      <c r="I186" s="4">
        <f t="shared" ref="I186" si="176">SUM(F186:H186)</f>
        <v>21.230000000000473</v>
      </c>
      <c r="J186" s="40"/>
    </row>
    <row r="187" spans="1:10" x14ac:dyDescent="0.25">
      <c r="A187" s="8">
        <v>45736</v>
      </c>
      <c r="B187" s="7">
        <v>4703.0200000000004</v>
      </c>
      <c r="C187" s="7">
        <v>42188.06</v>
      </c>
      <c r="D187" s="7">
        <v>5102.7</v>
      </c>
      <c r="E187" s="36">
        <f t="shared" si="89"/>
        <v>51993.78</v>
      </c>
      <c r="F187" s="4">
        <f t="shared" si="153"/>
        <v>1.6200000000008004</v>
      </c>
      <c r="G187" s="4">
        <f t="shared" si="154"/>
        <v>17.309999999997672</v>
      </c>
      <c r="H187" s="4">
        <f t="shared" ref="H187" si="177">D187-D186</f>
        <v>2.2600000000002183</v>
      </c>
      <c r="I187" s="4">
        <f t="shared" ref="I187" si="178">SUM(F187:H187)</f>
        <v>21.18999999999869</v>
      </c>
      <c r="J187" s="40"/>
    </row>
    <row r="188" spans="1:10" x14ac:dyDescent="0.25">
      <c r="A188" s="8">
        <v>45737</v>
      </c>
      <c r="B188" s="7">
        <v>4704.8500000000004</v>
      </c>
      <c r="C188" s="7">
        <v>42206.62</v>
      </c>
      <c r="D188" s="7">
        <v>5105.1099999999997</v>
      </c>
      <c r="E188" s="36">
        <f t="shared" si="89"/>
        <v>52016.58</v>
      </c>
      <c r="F188" s="4">
        <f t="shared" si="153"/>
        <v>1.8299999999999272</v>
      </c>
      <c r="G188" s="4">
        <f t="shared" si="154"/>
        <v>18.560000000004948</v>
      </c>
      <c r="H188" s="4">
        <f t="shared" ref="H188" si="179">D188-D187</f>
        <v>2.4099999999998545</v>
      </c>
      <c r="I188" s="4">
        <f t="shared" ref="I188" si="180">SUM(F188:H188)</f>
        <v>22.800000000004729</v>
      </c>
    </row>
    <row r="189" spans="1:10" x14ac:dyDescent="0.25">
      <c r="A189" s="8">
        <v>45738</v>
      </c>
      <c r="B189" s="7">
        <v>4707.3599999999997</v>
      </c>
      <c r="C189" s="7">
        <v>42225.21</v>
      </c>
      <c r="D189" s="7">
        <v>5107.53</v>
      </c>
      <c r="E189" s="36">
        <f t="shared" si="89"/>
        <v>52040.1</v>
      </c>
      <c r="F189" s="4">
        <f t="shared" si="153"/>
        <v>2.5099999999993088</v>
      </c>
      <c r="G189" s="4">
        <f t="shared" si="154"/>
        <v>18.589999999996508</v>
      </c>
      <c r="H189" s="4">
        <f t="shared" ref="H189" si="181">D189-D188</f>
        <v>2.4200000000000728</v>
      </c>
      <c r="I189" s="4">
        <f t="shared" ref="I189" si="182">SUM(F189:H189)</f>
        <v>23.519999999995889</v>
      </c>
    </row>
    <row r="190" spans="1:10" x14ac:dyDescent="0.25">
      <c r="A190" s="8">
        <v>45739</v>
      </c>
      <c r="B190" s="7">
        <v>4707.3599999999997</v>
      </c>
      <c r="C190" s="7">
        <v>42225.21</v>
      </c>
      <c r="D190" s="7">
        <v>5107.53</v>
      </c>
      <c r="E190" s="36">
        <f t="shared" si="89"/>
        <v>52040.1</v>
      </c>
      <c r="F190" s="4">
        <f t="shared" si="153"/>
        <v>0</v>
      </c>
      <c r="G190" s="4">
        <f t="shared" si="154"/>
        <v>0</v>
      </c>
      <c r="H190" s="4">
        <f t="shared" ref="H190:H191" si="183">D190-D189</f>
        <v>0</v>
      </c>
      <c r="I190" s="4">
        <f t="shared" ref="I190:I191" si="184">SUM(F190:H190)</f>
        <v>0</v>
      </c>
    </row>
    <row r="191" spans="1:10" x14ac:dyDescent="0.25">
      <c r="A191" s="8">
        <v>45740</v>
      </c>
      <c r="B191" s="7">
        <v>4707.3599999999997</v>
      </c>
      <c r="C191" s="7">
        <v>42225.21</v>
      </c>
      <c r="D191" s="7">
        <v>5107.53</v>
      </c>
      <c r="E191" s="36">
        <f t="shared" si="89"/>
        <v>52040.1</v>
      </c>
      <c r="F191" s="4">
        <f t="shared" si="153"/>
        <v>0</v>
      </c>
      <c r="G191" s="4">
        <f t="shared" si="154"/>
        <v>0</v>
      </c>
      <c r="H191" s="4">
        <f t="shared" si="183"/>
        <v>0</v>
      </c>
      <c r="I191" s="4">
        <f t="shared" si="184"/>
        <v>0</v>
      </c>
    </row>
    <row r="192" spans="1:10" x14ac:dyDescent="0.25">
      <c r="A192" s="8">
        <v>45741</v>
      </c>
      <c r="B192" s="7">
        <v>4709.3599999999997</v>
      </c>
      <c r="C192" s="7">
        <v>42243.75</v>
      </c>
      <c r="D192" s="7">
        <v>5109.95</v>
      </c>
      <c r="E192" s="36">
        <f t="shared" si="89"/>
        <v>52063.06</v>
      </c>
      <c r="F192" s="4">
        <f t="shared" si="153"/>
        <v>2</v>
      </c>
      <c r="G192" s="4">
        <f t="shared" si="154"/>
        <v>18.540000000000873</v>
      </c>
      <c r="H192" s="4">
        <f t="shared" ref="H192" si="185">D192-D191</f>
        <v>2.4200000000000728</v>
      </c>
      <c r="I192" s="4">
        <f t="shared" ref="I192" si="186">SUM(F192:H192)</f>
        <v>22.960000000000946</v>
      </c>
    </row>
    <row r="193" spans="1:10" x14ac:dyDescent="0.25">
      <c r="A193" s="8">
        <v>45742</v>
      </c>
      <c r="B193" s="7">
        <v>4711.37</v>
      </c>
      <c r="C193" s="7">
        <v>42262.34</v>
      </c>
      <c r="D193" s="7">
        <v>5112.3599999999997</v>
      </c>
      <c r="E193" s="36">
        <f t="shared" si="89"/>
        <v>52086.07</v>
      </c>
      <c r="F193" s="4">
        <f t="shared" si="153"/>
        <v>2.0100000000002183</v>
      </c>
      <c r="G193" s="4">
        <f t="shared" si="154"/>
        <v>18.589999999996508</v>
      </c>
      <c r="H193" s="4">
        <f t="shared" ref="H193" si="187">D193-D192</f>
        <v>2.4099999999998545</v>
      </c>
      <c r="I193" s="4">
        <f t="shared" ref="I193" si="188">SUM(F193:H193)</f>
        <v>23.00999999999658</v>
      </c>
    </row>
    <row r="194" spans="1:10" x14ac:dyDescent="0.25">
      <c r="A194" s="17" t="s">
        <v>7</v>
      </c>
      <c r="B194" s="18">
        <v>5711.37</v>
      </c>
      <c r="C194" s="19">
        <v>42262.34</v>
      </c>
      <c r="D194" s="19">
        <v>5112.3599999999997</v>
      </c>
      <c r="E194" s="36">
        <f t="shared" si="89"/>
        <v>53086.07</v>
      </c>
      <c r="F194" s="19"/>
      <c r="G194" s="19"/>
      <c r="H194" s="19"/>
      <c r="I194" s="19"/>
    </row>
    <row r="195" spans="1:10" x14ac:dyDescent="0.25">
      <c r="A195" s="8">
        <v>45743</v>
      </c>
      <c r="B195" s="4">
        <v>5713.49</v>
      </c>
      <c r="C195" s="4">
        <v>42280.97</v>
      </c>
      <c r="D195" s="7">
        <v>5114.8</v>
      </c>
      <c r="E195" s="36">
        <f t="shared" si="89"/>
        <v>53109.26</v>
      </c>
      <c r="F195" s="4">
        <f t="shared" ref="F195:G199" si="189">B195-B194</f>
        <v>2.1199999999998909</v>
      </c>
      <c r="G195" s="4">
        <f t="shared" si="189"/>
        <v>18.630000000004657</v>
      </c>
      <c r="H195" s="4">
        <f t="shared" ref="H195" si="190">D195-D194</f>
        <v>2.4400000000005093</v>
      </c>
      <c r="I195" s="4">
        <f t="shared" ref="I195" si="191">SUM(F195:H195)</f>
        <v>23.190000000005057</v>
      </c>
    </row>
    <row r="196" spans="1:10" x14ac:dyDescent="0.25">
      <c r="A196" s="8">
        <v>45744</v>
      </c>
      <c r="B196" s="4">
        <v>5715.69</v>
      </c>
      <c r="C196" s="4">
        <v>42299.55</v>
      </c>
      <c r="D196" s="7">
        <v>5117.22</v>
      </c>
      <c r="E196" s="36">
        <f t="shared" ref="E196:E259" si="192">SUM(B196:D196)</f>
        <v>53132.460000000006</v>
      </c>
      <c r="F196" s="4">
        <f t="shared" si="189"/>
        <v>2.1999999999998181</v>
      </c>
      <c r="G196" s="4">
        <f t="shared" si="189"/>
        <v>18.580000000001746</v>
      </c>
      <c r="H196" s="4">
        <f t="shared" ref="H196" si="193">D196-D195</f>
        <v>2.4200000000000728</v>
      </c>
      <c r="I196" s="4">
        <f t="shared" ref="I196" si="194">SUM(F196:H196)</f>
        <v>23.200000000001637</v>
      </c>
    </row>
    <row r="197" spans="1:10" x14ac:dyDescent="0.25">
      <c r="A197" s="8">
        <v>45745</v>
      </c>
      <c r="B197" s="4">
        <v>5718.97</v>
      </c>
      <c r="C197" s="4">
        <v>42323.99</v>
      </c>
      <c r="D197" s="7">
        <v>5119.66</v>
      </c>
      <c r="E197" s="36">
        <f t="shared" si="192"/>
        <v>53162.619999999995</v>
      </c>
      <c r="F197" s="4">
        <f t="shared" si="189"/>
        <v>3.2800000000006548</v>
      </c>
      <c r="G197" s="4">
        <f t="shared" si="189"/>
        <v>24.439999999995052</v>
      </c>
      <c r="H197" s="4">
        <f t="shared" ref="H197" si="195">D197-D196</f>
        <v>2.4399999999995998</v>
      </c>
      <c r="I197" s="4">
        <f t="shared" ref="I197" si="196">SUM(F197:H197)</f>
        <v>30.159999999995307</v>
      </c>
    </row>
    <row r="198" spans="1:10" x14ac:dyDescent="0.25">
      <c r="A198" s="8">
        <v>45746</v>
      </c>
      <c r="B198" s="4">
        <v>5718.97</v>
      </c>
      <c r="C198" s="4">
        <v>42323.99</v>
      </c>
      <c r="D198" s="7">
        <v>5119.66</v>
      </c>
      <c r="E198" s="36">
        <f t="shared" si="192"/>
        <v>53162.619999999995</v>
      </c>
      <c r="F198" s="4">
        <f t="shared" si="189"/>
        <v>0</v>
      </c>
      <c r="G198" s="4">
        <f t="shared" si="189"/>
        <v>0</v>
      </c>
      <c r="H198" s="4">
        <f t="shared" ref="H198:H199" si="197">D198-D197</f>
        <v>0</v>
      </c>
      <c r="I198" s="4">
        <f t="shared" ref="I198:I199" si="198">SUM(F198:H198)</f>
        <v>0</v>
      </c>
    </row>
    <row r="199" spans="1:10" x14ac:dyDescent="0.25">
      <c r="A199" s="8">
        <v>45747</v>
      </c>
      <c r="B199" s="4">
        <v>5718.97</v>
      </c>
      <c r="C199" s="4">
        <v>42323.99</v>
      </c>
      <c r="D199" s="7">
        <v>5119.66</v>
      </c>
      <c r="E199" s="36">
        <f t="shared" si="192"/>
        <v>53162.619999999995</v>
      </c>
      <c r="F199" s="4">
        <f t="shared" si="189"/>
        <v>0</v>
      </c>
      <c r="G199" s="4">
        <f t="shared" si="189"/>
        <v>0</v>
      </c>
      <c r="H199" s="4">
        <f t="shared" si="197"/>
        <v>0</v>
      </c>
      <c r="I199" s="4">
        <f t="shared" si="198"/>
        <v>0</v>
      </c>
    </row>
    <row r="200" spans="1:10" x14ac:dyDescent="0.25">
      <c r="A200" s="5" t="s">
        <v>6</v>
      </c>
      <c r="B200" s="5"/>
      <c r="C200" s="5"/>
      <c r="D200" s="5"/>
      <c r="E200" s="5"/>
      <c r="F200" s="6">
        <f>SUM(F166:F199)</f>
        <v>32.990000000000236</v>
      </c>
      <c r="G200" s="6">
        <f t="shared" ref="G200:I200" si="199">SUM(G166:G199)</f>
        <v>361.02999999999884</v>
      </c>
      <c r="H200" s="6">
        <f t="shared" si="199"/>
        <v>43.960000000000036</v>
      </c>
      <c r="I200" s="6">
        <f t="shared" si="199"/>
        <v>437.97999999999911</v>
      </c>
    </row>
    <row r="201" spans="1:10" x14ac:dyDescent="0.25">
      <c r="A201" s="8">
        <v>45748</v>
      </c>
      <c r="B201" s="4">
        <v>5721.33</v>
      </c>
      <c r="C201" s="4">
        <v>42342.64</v>
      </c>
      <c r="D201" s="7">
        <v>5122.07</v>
      </c>
      <c r="E201" s="36">
        <f t="shared" si="192"/>
        <v>53186.04</v>
      </c>
      <c r="F201" s="4">
        <f>B201-B199</f>
        <v>2.3599999999996726</v>
      </c>
      <c r="G201" s="4">
        <f>C201-C199</f>
        <v>18.650000000001455</v>
      </c>
      <c r="H201" s="4">
        <f t="shared" ref="H201" si="200">D201-D199</f>
        <v>2.4099999999998545</v>
      </c>
      <c r="I201" s="4">
        <f>SUM(F201:H201)</f>
        <v>23.420000000000982</v>
      </c>
    </row>
    <row r="202" spans="1:10" x14ac:dyDescent="0.25">
      <c r="A202" s="17" t="s">
        <v>7</v>
      </c>
      <c r="B202" s="19">
        <v>5721.33</v>
      </c>
      <c r="C202" s="19">
        <v>42342.64</v>
      </c>
      <c r="D202" s="18">
        <v>6122.07</v>
      </c>
      <c r="E202" s="36">
        <f t="shared" si="192"/>
        <v>54186.04</v>
      </c>
      <c r="F202" s="19"/>
      <c r="G202" s="19"/>
      <c r="H202" s="19"/>
      <c r="I202" s="19"/>
    </row>
    <row r="203" spans="1:10" x14ac:dyDescent="0.25">
      <c r="A203" s="8">
        <v>45749</v>
      </c>
      <c r="B203" s="4">
        <v>5723.89</v>
      </c>
      <c r="C203" s="4">
        <v>42361.33</v>
      </c>
      <c r="D203" s="20">
        <v>6124.97</v>
      </c>
      <c r="E203" s="36">
        <f t="shared" si="192"/>
        <v>54210.19</v>
      </c>
      <c r="F203" s="4">
        <f>B203-B202</f>
        <v>2.5600000000004002</v>
      </c>
      <c r="G203" s="4">
        <f>C203-C202</f>
        <v>18.690000000002328</v>
      </c>
      <c r="H203" s="4">
        <f t="shared" ref="H203" si="201">D203-D202</f>
        <v>2.9000000000005457</v>
      </c>
      <c r="I203" s="4">
        <f>SUM(F203:H203)</f>
        <v>24.150000000003274</v>
      </c>
    </row>
    <row r="204" spans="1:10" x14ac:dyDescent="0.25">
      <c r="A204" s="8">
        <v>45750</v>
      </c>
      <c r="B204" s="4">
        <v>5726.51</v>
      </c>
      <c r="C204" s="4">
        <v>42379.95</v>
      </c>
      <c r="D204" s="20">
        <v>6127.86</v>
      </c>
      <c r="E204" s="36">
        <f t="shared" si="192"/>
        <v>54234.32</v>
      </c>
      <c r="F204" s="4">
        <f>B204-B203</f>
        <v>2.6199999999998909</v>
      </c>
      <c r="G204" s="4">
        <f>C204-C203</f>
        <v>18.619999999995343</v>
      </c>
      <c r="H204" s="4">
        <f t="shared" ref="H204" si="202">D204-D203</f>
        <v>2.8899999999994179</v>
      </c>
      <c r="I204" s="4">
        <f>SUM(F204:H204)</f>
        <v>24.129999999994652</v>
      </c>
    </row>
    <row r="205" spans="1:10" x14ac:dyDescent="0.25">
      <c r="A205" s="17" t="s">
        <v>7</v>
      </c>
      <c r="B205" s="18">
        <v>6726.51</v>
      </c>
      <c r="C205" s="19">
        <v>42379.95</v>
      </c>
      <c r="D205" s="21">
        <v>6127.86</v>
      </c>
      <c r="E205" s="36">
        <f t="shared" si="192"/>
        <v>55234.32</v>
      </c>
      <c r="F205" s="19"/>
      <c r="G205" s="19"/>
      <c r="H205" s="19"/>
      <c r="I205" s="19"/>
      <c r="J205" s="40"/>
    </row>
    <row r="206" spans="1:10" x14ac:dyDescent="0.25">
      <c r="A206" s="8">
        <v>45751</v>
      </c>
      <c r="B206" s="4">
        <v>6729.18</v>
      </c>
      <c r="C206" s="4">
        <v>42398.66</v>
      </c>
      <c r="D206" s="20">
        <v>6130.76</v>
      </c>
      <c r="E206" s="36">
        <f t="shared" si="192"/>
        <v>55258.600000000006</v>
      </c>
      <c r="F206" s="4">
        <f>B206-B205</f>
        <v>2.6700000000000728</v>
      </c>
      <c r="G206" s="4">
        <f>C206-C205</f>
        <v>18.710000000006403</v>
      </c>
      <c r="H206" s="4">
        <f t="shared" ref="H206" si="203">D206-D205</f>
        <v>2.9000000000005457</v>
      </c>
      <c r="I206" s="4">
        <f t="shared" ref="I206" si="204">SUM(F206:H206)</f>
        <v>24.280000000007021</v>
      </c>
    </row>
    <row r="207" spans="1:10" x14ac:dyDescent="0.25">
      <c r="A207" s="17" t="s">
        <v>7</v>
      </c>
      <c r="B207" s="18">
        <v>7729.18</v>
      </c>
      <c r="C207" s="19">
        <v>42398.66</v>
      </c>
      <c r="D207" s="21">
        <v>6130.76</v>
      </c>
      <c r="E207" s="36">
        <f t="shared" si="192"/>
        <v>56258.600000000006</v>
      </c>
      <c r="F207" s="19"/>
      <c r="G207" s="19"/>
      <c r="H207" s="19"/>
      <c r="I207" s="19"/>
      <c r="J207" s="40"/>
    </row>
    <row r="208" spans="1:10" x14ac:dyDescent="0.25">
      <c r="A208" s="8">
        <v>45752</v>
      </c>
      <c r="B208" s="4">
        <v>7731.94</v>
      </c>
      <c r="C208" s="4">
        <v>42435.93</v>
      </c>
      <c r="D208" s="20">
        <v>6133.65</v>
      </c>
      <c r="E208" s="36">
        <f t="shared" si="192"/>
        <v>56301.520000000004</v>
      </c>
      <c r="F208" s="4">
        <f t="shared" ref="F208:F233" si="205">B208-B207</f>
        <v>2.7599999999993088</v>
      </c>
      <c r="G208" s="4">
        <f t="shared" ref="G208:G233" si="206">C208-C207</f>
        <v>37.269999999996799</v>
      </c>
      <c r="H208" s="4">
        <f t="shared" ref="H208" si="207">D208-D207</f>
        <v>2.8899999999994179</v>
      </c>
      <c r="I208" s="4">
        <f t="shared" ref="I208" si="208">SUM(F208:H208)</f>
        <v>42.919999999995525</v>
      </c>
    </row>
    <row r="209" spans="1:9" x14ac:dyDescent="0.25">
      <c r="A209" s="8">
        <v>45753</v>
      </c>
      <c r="B209" s="4">
        <v>7731.94</v>
      </c>
      <c r="C209" s="4">
        <v>42435.93</v>
      </c>
      <c r="D209" s="20">
        <v>6133.65</v>
      </c>
      <c r="E209" s="36">
        <f t="shared" si="192"/>
        <v>56301.520000000004</v>
      </c>
      <c r="F209" s="4">
        <f t="shared" si="205"/>
        <v>0</v>
      </c>
      <c r="G209" s="4">
        <f t="shared" si="206"/>
        <v>0</v>
      </c>
      <c r="H209" s="4">
        <f t="shared" ref="H209:H210" si="209">D209-D208</f>
        <v>0</v>
      </c>
      <c r="I209" s="4">
        <f t="shared" ref="I209:I210" si="210">SUM(F209:H209)</f>
        <v>0</v>
      </c>
    </row>
    <row r="210" spans="1:9" x14ac:dyDescent="0.25">
      <c r="A210" s="8">
        <v>45754</v>
      </c>
      <c r="B210" s="4">
        <v>7731.94</v>
      </c>
      <c r="C210" s="4">
        <v>42435.93</v>
      </c>
      <c r="D210" s="20">
        <v>6133.65</v>
      </c>
      <c r="E210" s="36">
        <f t="shared" si="192"/>
        <v>56301.520000000004</v>
      </c>
      <c r="F210" s="4">
        <f t="shared" si="205"/>
        <v>0</v>
      </c>
      <c r="G210" s="4">
        <f t="shared" si="206"/>
        <v>0</v>
      </c>
      <c r="H210" s="4">
        <f t="shared" si="209"/>
        <v>0</v>
      </c>
      <c r="I210" s="4">
        <f t="shared" si="210"/>
        <v>0</v>
      </c>
    </row>
    <row r="211" spans="1:9" x14ac:dyDescent="0.25">
      <c r="A211" s="8">
        <v>45755</v>
      </c>
      <c r="B211" s="4">
        <v>7734.35</v>
      </c>
      <c r="C211" s="4">
        <v>42454.67</v>
      </c>
      <c r="D211" s="20">
        <v>6136.56</v>
      </c>
      <c r="E211" s="36">
        <f t="shared" si="192"/>
        <v>56325.579999999994</v>
      </c>
      <c r="F211" s="4">
        <f t="shared" si="205"/>
        <v>2.410000000000764</v>
      </c>
      <c r="G211" s="4">
        <f t="shared" si="206"/>
        <v>18.739999999997963</v>
      </c>
      <c r="H211" s="4">
        <f t="shared" ref="H211" si="211">D211-D210</f>
        <v>2.910000000000764</v>
      </c>
      <c r="I211" s="4">
        <f t="shared" ref="I211" si="212">SUM(F211:H211)</f>
        <v>24.059999999999491</v>
      </c>
    </row>
    <row r="212" spans="1:9" x14ac:dyDescent="0.25">
      <c r="A212" s="8">
        <v>45756</v>
      </c>
      <c r="B212" s="4">
        <v>7736.84</v>
      </c>
      <c r="C212" s="4">
        <v>42473.45</v>
      </c>
      <c r="D212" s="20">
        <v>6139.45</v>
      </c>
      <c r="E212" s="36">
        <f t="shared" si="192"/>
        <v>56349.739999999991</v>
      </c>
      <c r="F212" s="4">
        <f t="shared" si="205"/>
        <v>2.4899999999997817</v>
      </c>
      <c r="G212" s="4">
        <f t="shared" si="206"/>
        <v>18.779999999998836</v>
      </c>
      <c r="H212" s="4">
        <f t="shared" ref="H212" si="213">D212-D211</f>
        <v>2.8899999999994179</v>
      </c>
      <c r="I212" s="4">
        <f t="shared" ref="I212" si="214">SUM(F212:H212)</f>
        <v>24.159999999998035</v>
      </c>
    </row>
    <row r="213" spans="1:9" x14ac:dyDescent="0.25">
      <c r="A213" s="8">
        <v>45757</v>
      </c>
      <c r="B213" s="4">
        <v>7739.37</v>
      </c>
      <c r="C213" s="4">
        <v>42492.25</v>
      </c>
      <c r="D213" s="20">
        <v>6142.35</v>
      </c>
      <c r="E213" s="36">
        <f t="shared" si="192"/>
        <v>56373.97</v>
      </c>
      <c r="F213" s="4">
        <f t="shared" si="205"/>
        <v>2.5299999999997453</v>
      </c>
      <c r="G213" s="4">
        <f t="shared" si="206"/>
        <v>18.80000000000291</v>
      </c>
      <c r="H213" s="4">
        <f t="shared" ref="H213" si="215">D213-D212</f>
        <v>2.9000000000005457</v>
      </c>
      <c r="I213" s="4">
        <f t="shared" ref="I213" si="216">SUM(F213:H213)</f>
        <v>24.230000000003201</v>
      </c>
    </row>
    <row r="214" spans="1:9" x14ac:dyDescent="0.25">
      <c r="A214" s="8">
        <v>45758</v>
      </c>
      <c r="B214" s="4">
        <v>7742.09</v>
      </c>
      <c r="C214" s="4">
        <v>42511.03</v>
      </c>
      <c r="D214" s="20">
        <v>6145.26</v>
      </c>
      <c r="E214" s="36">
        <f t="shared" si="192"/>
        <v>56398.38</v>
      </c>
      <c r="F214" s="4">
        <f t="shared" si="205"/>
        <v>2.7200000000002547</v>
      </c>
      <c r="G214" s="4">
        <f t="shared" si="206"/>
        <v>18.779999999998836</v>
      </c>
      <c r="H214" s="4">
        <f t="shared" ref="H214" si="217">D214-D213</f>
        <v>2.9099999999998545</v>
      </c>
      <c r="I214" s="4">
        <f t="shared" ref="I214" si="218">SUM(F214:H214)</f>
        <v>24.409999999998945</v>
      </c>
    </row>
    <row r="215" spans="1:9" x14ac:dyDescent="0.25">
      <c r="A215" s="8">
        <v>45759</v>
      </c>
      <c r="B215" s="4">
        <v>7746.26</v>
      </c>
      <c r="C215" s="4">
        <v>42529.82</v>
      </c>
      <c r="D215" s="20">
        <v>6148.17</v>
      </c>
      <c r="E215" s="36">
        <f t="shared" si="192"/>
        <v>56424.25</v>
      </c>
      <c r="F215" s="4">
        <f t="shared" si="205"/>
        <v>4.1700000000000728</v>
      </c>
      <c r="G215" s="4">
        <f t="shared" si="206"/>
        <v>18.790000000000873</v>
      </c>
      <c r="H215" s="4">
        <f t="shared" ref="H215" si="219">D215-D214</f>
        <v>2.9099999999998545</v>
      </c>
      <c r="I215" s="4">
        <f t="shared" ref="I215" si="220">SUM(F215:H215)</f>
        <v>25.8700000000008</v>
      </c>
    </row>
    <row r="216" spans="1:9" x14ac:dyDescent="0.25">
      <c r="A216" s="8">
        <v>45760</v>
      </c>
      <c r="B216" s="4">
        <v>7746.26</v>
      </c>
      <c r="C216" s="4">
        <v>42529.82</v>
      </c>
      <c r="D216" s="20">
        <v>6148.17</v>
      </c>
      <c r="E216" s="36">
        <f t="shared" si="192"/>
        <v>56424.25</v>
      </c>
      <c r="F216" s="4">
        <f t="shared" si="205"/>
        <v>0</v>
      </c>
      <c r="G216" s="4">
        <f t="shared" si="206"/>
        <v>0</v>
      </c>
      <c r="H216" s="4">
        <f t="shared" ref="H216:H217" si="221">D216-D215</f>
        <v>0</v>
      </c>
      <c r="I216" s="4">
        <f t="shared" ref="I216:I217" si="222">SUM(F216:H216)</f>
        <v>0</v>
      </c>
    </row>
    <row r="217" spans="1:9" x14ac:dyDescent="0.25">
      <c r="A217" s="8">
        <v>45761</v>
      </c>
      <c r="B217" s="4">
        <v>7746.26</v>
      </c>
      <c r="C217" s="4">
        <v>42529.82</v>
      </c>
      <c r="D217" s="20">
        <v>6148.17</v>
      </c>
      <c r="E217" s="36">
        <f t="shared" si="192"/>
        <v>56424.25</v>
      </c>
      <c r="F217" s="4">
        <f t="shared" si="205"/>
        <v>0</v>
      </c>
      <c r="G217" s="4">
        <f t="shared" si="206"/>
        <v>0</v>
      </c>
      <c r="H217" s="4">
        <f t="shared" si="221"/>
        <v>0</v>
      </c>
      <c r="I217" s="4">
        <f t="shared" si="222"/>
        <v>0</v>
      </c>
    </row>
    <row r="218" spans="1:9" x14ac:dyDescent="0.25">
      <c r="A218" s="8">
        <v>45762</v>
      </c>
      <c r="B218" s="4">
        <v>7749.11</v>
      </c>
      <c r="C218" s="4">
        <v>42548.62</v>
      </c>
      <c r="D218" s="20">
        <v>6151.07</v>
      </c>
      <c r="E218" s="36">
        <f t="shared" si="192"/>
        <v>56448.800000000003</v>
      </c>
      <c r="F218" s="4">
        <f t="shared" si="205"/>
        <v>2.8499999999994543</v>
      </c>
      <c r="G218" s="4">
        <f t="shared" si="206"/>
        <v>18.80000000000291</v>
      </c>
      <c r="H218" s="4">
        <f t="shared" ref="H218" si="223">D218-D217</f>
        <v>2.8999999999996362</v>
      </c>
      <c r="I218" s="4">
        <f t="shared" ref="I218" si="224">SUM(F218:H218)</f>
        <v>24.550000000002001</v>
      </c>
    </row>
    <row r="219" spans="1:9" x14ac:dyDescent="0.25">
      <c r="A219" s="8">
        <v>45763</v>
      </c>
      <c r="B219" s="4">
        <v>7752.1</v>
      </c>
      <c r="C219" s="4">
        <v>42567.47</v>
      </c>
      <c r="D219" s="20">
        <v>6153.98</v>
      </c>
      <c r="E219" s="36">
        <f t="shared" si="192"/>
        <v>56473.55</v>
      </c>
      <c r="F219" s="4">
        <f t="shared" si="205"/>
        <v>2.9900000000006912</v>
      </c>
      <c r="G219" s="4">
        <f t="shared" si="206"/>
        <v>18.849999999998545</v>
      </c>
      <c r="H219" s="4">
        <f t="shared" ref="H219" si="225">D219-D218</f>
        <v>2.9099999999998545</v>
      </c>
      <c r="I219" s="4">
        <f t="shared" ref="I219:I220" si="226">SUM(F219:H219)</f>
        <v>24.749999999999091</v>
      </c>
    </row>
    <row r="220" spans="1:9" x14ac:dyDescent="0.25">
      <c r="A220" s="8">
        <v>45764</v>
      </c>
      <c r="B220" s="4">
        <v>7755.24</v>
      </c>
      <c r="C220" s="4">
        <v>42586.27</v>
      </c>
      <c r="D220" s="20">
        <v>6156.9</v>
      </c>
      <c r="E220" s="36">
        <f t="shared" si="192"/>
        <v>56498.409999999996</v>
      </c>
      <c r="F220" s="4">
        <f t="shared" si="205"/>
        <v>3.1399999999994179</v>
      </c>
      <c r="G220" s="4">
        <f t="shared" si="206"/>
        <v>18.799999999995634</v>
      </c>
      <c r="H220" s="4">
        <f t="shared" ref="H220" si="227">D220-D219</f>
        <v>2.9200000000000728</v>
      </c>
      <c r="I220" s="4">
        <f t="shared" si="226"/>
        <v>24.859999999995125</v>
      </c>
    </row>
    <row r="221" spans="1:9" x14ac:dyDescent="0.25">
      <c r="A221" s="8">
        <v>45765</v>
      </c>
      <c r="B221" s="4">
        <v>7760.38</v>
      </c>
      <c r="C221" s="4">
        <v>42605.15</v>
      </c>
      <c r="D221" s="20">
        <v>6159.8</v>
      </c>
      <c r="E221" s="36">
        <f t="shared" si="192"/>
        <v>56525.33</v>
      </c>
      <c r="F221" s="4">
        <f t="shared" si="205"/>
        <v>5.1400000000003274</v>
      </c>
      <c r="G221" s="4">
        <f t="shared" si="206"/>
        <v>18.880000000004657</v>
      </c>
      <c r="H221" s="4">
        <f t="shared" ref="H221" si="228">D221-D220</f>
        <v>2.9000000000005457</v>
      </c>
      <c r="I221" s="4">
        <f t="shared" ref="I221" si="229">SUM(F221:H221)</f>
        <v>26.92000000000553</v>
      </c>
    </row>
    <row r="222" spans="1:9" x14ac:dyDescent="0.25">
      <c r="A222" s="8">
        <v>45766</v>
      </c>
      <c r="B222" s="4">
        <v>7760.38</v>
      </c>
      <c r="C222" s="4">
        <v>42605.15</v>
      </c>
      <c r="D222" s="20">
        <v>6159.8</v>
      </c>
      <c r="E222" s="36">
        <f t="shared" si="192"/>
        <v>56525.33</v>
      </c>
      <c r="F222" s="4">
        <f t="shared" si="205"/>
        <v>0</v>
      </c>
      <c r="G222" s="4">
        <f t="shared" si="206"/>
        <v>0</v>
      </c>
      <c r="H222" s="4">
        <f t="shared" ref="H222:H224" si="230">D222-D221</f>
        <v>0</v>
      </c>
      <c r="I222" s="4">
        <f t="shared" ref="I222:I224" si="231">SUM(F222:H222)</f>
        <v>0</v>
      </c>
    </row>
    <row r="223" spans="1:9" x14ac:dyDescent="0.25">
      <c r="A223" s="8">
        <v>45767</v>
      </c>
      <c r="B223" s="4">
        <v>7760.38</v>
      </c>
      <c r="C223" s="4">
        <v>42605.15</v>
      </c>
      <c r="D223" s="20">
        <v>6159.8</v>
      </c>
      <c r="E223" s="36">
        <f t="shared" si="192"/>
        <v>56525.33</v>
      </c>
      <c r="F223" s="4">
        <f t="shared" si="205"/>
        <v>0</v>
      </c>
      <c r="G223" s="4">
        <f t="shared" si="206"/>
        <v>0</v>
      </c>
      <c r="H223" s="4">
        <f t="shared" si="230"/>
        <v>0</v>
      </c>
      <c r="I223" s="4">
        <f t="shared" si="231"/>
        <v>0</v>
      </c>
    </row>
    <row r="224" spans="1:9" x14ac:dyDescent="0.25">
      <c r="A224" s="8">
        <v>45768</v>
      </c>
      <c r="B224" s="4">
        <v>7760.38</v>
      </c>
      <c r="C224" s="4">
        <v>42605.15</v>
      </c>
      <c r="D224" s="20">
        <v>6159.8</v>
      </c>
      <c r="E224" s="36">
        <f t="shared" si="192"/>
        <v>56525.33</v>
      </c>
      <c r="F224" s="4">
        <f t="shared" si="205"/>
        <v>0</v>
      </c>
      <c r="G224" s="4">
        <f t="shared" si="206"/>
        <v>0</v>
      </c>
      <c r="H224" s="4">
        <f t="shared" si="230"/>
        <v>0</v>
      </c>
      <c r="I224" s="4">
        <f t="shared" si="231"/>
        <v>0</v>
      </c>
    </row>
    <row r="225" spans="1:10" x14ac:dyDescent="0.25">
      <c r="A225" s="8">
        <v>45769</v>
      </c>
      <c r="B225" s="4">
        <v>7760.38</v>
      </c>
      <c r="C225" s="4">
        <v>42605.15</v>
      </c>
      <c r="D225" s="20">
        <v>6159.8</v>
      </c>
      <c r="E225" s="36">
        <f t="shared" si="192"/>
        <v>56525.33</v>
      </c>
      <c r="F225" s="4">
        <f t="shared" si="205"/>
        <v>0</v>
      </c>
      <c r="G225" s="4">
        <f t="shared" si="206"/>
        <v>0</v>
      </c>
      <c r="H225" s="4">
        <f t="shared" ref="H225" si="232">D225-D224</f>
        <v>0</v>
      </c>
      <c r="I225" s="4">
        <f t="shared" ref="I225" si="233">SUM(F225:H225)</f>
        <v>0</v>
      </c>
    </row>
    <row r="226" spans="1:10" x14ac:dyDescent="0.25">
      <c r="A226" s="8">
        <v>45770</v>
      </c>
      <c r="B226" s="4">
        <v>7763.88</v>
      </c>
      <c r="C226" s="4">
        <v>42623.95</v>
      </c>
      <c r="D226" s="20">
        <v>6162.72</v>
      </c>
      <c r="E226" s="36">
        <f t="shared" si="192"/>
        <v>56550.549999999996</v>
      </c>
      <c r="F226" s="4">
        <f t="shared" si="205"/>
        <v>3.5</v>
      </c>
      <c r="G226" s="4">
        <f t="shared" si="206"/>
        <v>18.799999999995634</v>
      </c>
      <c r="H226" s="4">
        <f t="shared" ref="H226" si="234">D226-D225</f>
        <v>2.9200000000000728</v>
      </c>
      <c r="I226" s="4">
        <f t="shared" ref="I226" si="235">SUM(F226:H226)</f>
        <v>25.219999999995707</v>
      </c>
    </row>
    <row r="227" spans="1:10" x14ac:dyDescent="0.25">
      <c r="A227" s="8">
        <v>45771</v>
      </c>
      <c r="B227" s="4">
        <v>7767.29</v>
      </c>
      <c r="C227" s="4">
        <v>42649</v>
      </c>
      <c r="D227" s="20">
        <v>6165.64</v>
      </c>
      <c r="E227" s="36">
        <f t="shared" si="192"/>
        <v>56581.93</v>
      </c>
      <c r="F227" s="4">
        <f t="shared" si="205"/>
        <v>3.4099999999998545</v>
      </c>
      <c r="G227" s="4">
        <f t="shared" si="206"/>
        <v>25.05000000000291</v>
      </c>
      <c r="H227" s="4">
        <f t="shared" ref="H227" si="236">D227-D226</f>
        <v>2.9200000000000728</v>
      </c>
      <c r="I227" s="4">
        <f t="shared" ref="I227" si="237">SUM(F227:H227)</f>
        <v>31.380000000002838</v>
      </c>
    </row>
    <row r="228" spans="1:10" x14ac:dyDescent="0.25">
      <c r="A228" s="8">
        <v>45772</v>
      </c>
      <c r="B228" s="4">
        <v>7770.84</v>
      </c>
      <c r="C228" s="4">
        <v>42674.080000000002</v>
      </c>
      <c r="D228" s="20">
        <v>6168.55</v>
      </c>
      <c r="E228" s="36">
        <f t="shared" si="192"/>
        <v>56613.47</v>
      </c>
      <c r="F228" s="4">
        <f t="shared" si="205"/>
        <v>3.5500000000001819</v>
      </c>
      <c r="G228" s="4">
        <f t="shared" si="206"/>
        <v>25.080000000001746</v>
      </c>
      <c r="H228" s="4">
        <f t="shared" ref="H228" si="238">D228-D227</f>
        <v>2.9099999999998545</v>
      </c>
      <c r="I228" s="4">
        <f t="shared" ref="I228" si="239">SUM(F228:H228)</f>
        <v>31.540000000001783</v>
      </c>
    </row>
    <row r="229" spans="1:10" x14ac:dyDescent="0.25">
      <c r="A229" s="8">
        <v>45773</v>
      </c>
      <c r="B229" s="4">
        <v>7775.01</v>
      </c>
      <c r="C229" s="4">
        <v>42693.02</v>
      </c>
      <c r="D229" s="20">
        <v>6171.46</v>
      </c>
      <c r="E229" s="36">
        <f t="shared" si="192"/>
        <v>56639.49</v>
      </c>
      <c r="F229" s="4">
        <f t="shared" si="205"/>
        <v>4.1700000000000728</v>
      </c>
      <c r="G229" s="4">
        <f t="shared" si="206"/>
        <v>18.939999999995052</v>
      </c>
      <c r="H229" s="4">
        <f t="shared" ref="H229" si="240">D229-D228</f>
        <v>2.9099999999998545</v>
      </c>
      <c r="I229" s="4">
        <f t="shared" ref="I229" si="241">SUM(F229:H229)</f>
        <v>26.01999999999498</v>
      </c>
    </row>
    <row r="230" spans="1:10" x14ac:dyDescent="0.25">
      <c r="A230" s="8">
        <v>45774</v>
      </c>
      <c r="B230" s="4">
        <v>7775.01</v>
      </c>
      <c r="C230" s="4">
        <v>42693.02</v>
      </c>
      <c r="D230" s="20">
        <v>6171.46</v>
      </c>
      <c r="E230" s="36">
        <f t="shared" si="192"/>
        <v>56639.49</v>
      </c>
      <c r="F230" s="4">
        <f t="shared" si="205"/>
        <v>0</v>
      </c>
      <c r="G230" s="4">
        <f t="shared" si="206"/>
        <v>0</v>
      </c>
      <c r="H230" s="4">
        <f t="shared" ref="H230:H231" si="242">D230-D229</f>
        <v>0</v>
      </c>
      <c r="I230" s="4">
        <f t="shared" ref="I230:I231" si="243">SUM(F230:H230)</f>
        <v>0</v>
      </c>
    </row>
    <row r="231" spans="1:10" x14ac:dyDescent="0.25">
      <c r="A231" s="8">
        <v>45775</v>
      </c>
      <c r="B231" s="4">
        <v>7775.01</v>
      </c>
      <c r="C231" s="4">
        <v>42693.02</v>
      </c>
      <c r="D231" s="20">
        <v>6171.46</v>
      </c>
      <c r="E231" s="36">
        <f t="shared" si="192"/>
        <v>56639.49</v>
      </c>
      <c r="F231" s="4">
        <f t="shared" si="205"/>
        <v>0</v>
      </c>
      <c r="G231" s="4">
        <f t="shared" si="206"/>
        <v>0</v>
      </c>
      <c r="H231" s="4">
        <f t="shared" si="242"/>
        <v>0</v>
      </c>
      <c r="I231" s="4">
        <f t="shared" si="243"/>
        <v>0</v>
      </c>
    </row>
    <row r="232" spans="1:10" x14ac:dyDescent="0.25">
      <c r="A232" s="8">
        <v>45776</v>
      </c>
      <c r="B232" s="4">
        <v>7778.5</v>
      </c>
      <c r="C232" s="4">
        <v>42711.94</v>
      </c>
      <c r="D232" s="20">
        <v>6174.38</v>
      </c>
      <c r="E232" s="36">
        <f t="shared" si="192"/>
        <v>56664.82</v>
      </c>
      <c r="F232" s="4">
        <f t="shared" si="205"/>
        <v>3.4899999999997817</v>
      </c>
      <c r="G232" s="4">
        <f t="shared" si="206"/>
        <v>18.92000000000553</v>
      </c>
      <c r="H232" s="4">
        <f t="shared" ref="H232" si="244">D232-D231</f>
        <v>2.9200000000000728</v>
      </c>
      <c r="I232" s="4">
        <f t="shared" ref="I232" si="245">SUM(F232:H232)</f>
        <v>25.330000000005384</v>
      </c>
    </row>
    <row r="233" spans="1:10" x14ac:dyDescent="0.25">
      <c r="A233" s="8">
        <v>45777</v>
      </c>
      <c r="B233" s="4">
        <v>7782</v>
      </c>
      <c r="C233" s="4">
        <v>42730.86</v>
      </c>
      <c r="D233" s="20">
        <v>6177.3</v>
      </c>
      <c r="E233" s="36">
        <f t="shared" si="192"/>
        <v>56690.16</v>
      </c>
      <c r="F233" s="4">
        <f t="shared" si="205"/>
        <v>3.5</v>
      </c>
      <c r="G233" s="4">
        <f t="shared" si="206"/>
        <v>18.919999999998254</v>
      </c>
      <c r="H233" s="4">
        <f t="shared" ref="H233" si="246">D233-D232</f>
        <v>2.9200000000000728</v>
      </c>
      <c r="I233" s="4">
        <f t="shared" ref="I233:I235" si="247">SUM(F233:H233)</f>
        <v>25.339999999998327</v>
      </c>
    </row>
    <row r="234" spans="1:10" x14ac:dyDescent="0.25">
      <c r="A234" s="5" t="s">
        <v>6</v>
      </c>
      <c r="B234" s="5"/>
      <c r="C234" s="5"/>
      <c r="D234" s="5"/>
      <c r="E234" s="5"/>
      <c r="F234" s="6">
        <f>SUM(F201:F233)</f>
        <v>63.029999999999745</v>
      </c>
      <c r="G234" s="6">
        <f t="shared" ref="G234:H234" si="248">SUM(G201:G233)</f>
        <v>406.87000000000262</v>
      </c>
      <c r="H234" s="6">
        <f t="shared" si="248"/>
        <v>57.640000000000327</v>
      </c>
      <c r="I234" s="6">
        <f>SUM(I201:I233)</f>
        <v>527.54000000000269</v>
      </c>
    </row>
    <row r="235" spans="1:10" x14ac:dyDescent="0.25">
      <c r="A235" s="3">
        <v>45778</v>
      </c>
      <c r="B235" s="4">
        <v>7786.12</v>
      </c>
      <c r="C235" s="4">
        <v>42755.41</v>
      </c>
      <c r="D235" s="20">
        <v>6180.22</v>
      </c>
      <c r="E235" s="36">
        <f t="shared" si="192"/>
        <v>56721.750000000007</v>
      </c>
      <c r="F235" s="4">
        <f>B235-B233</f>
        <v>4.1199999999998909</v>
      </c>
      <c r="G235" s="4">
        <f>C235-C233</f>
        <v>24.55000000000291</v>
      </c>
      <c r="H235" s="4">
        <f t="shared" ref="H235" si="249">D235-D233</f>
        <v>2.9200000000000728</v>
      </c>
      <c r="I235" s="4">
        <f t="shared" si="247"/>
        <v>31.590000000002874</v>
      </c>
    </row>
    <row r="236" spans="1:10" x14ac:dyDescent="0.25">
      <c r="A236" s="3">
        <v>45779</v>
      </c>
      <c r="B236" s="4">
        <v>7786.12</v>
      </c>
      <c r="C236" s="4">
        <v>42755.41</v>
      </c>
      <c r="D236" s="20">
        <v>6180.22</v>
      </c>
      <c r="E236" s="36">
        <f t="shared" si="192"/>
        <v>56721.750000000007</v>
      </c>
      <c r="F236" s="4">
        <f t="shared" ref="F236:G242" si="250">B236-B235</f>
        <v>0</v>
      </c>
      <c r="G236" s="4">
        <f t="shared" si="250"/>
        <v>0</v>
      </c>
      <c r="H236" s="4">
        <f t="shared" ref="H236" si="251">D236-D235</f>
        <v>0</v>
      </c>
      <c r="I236" s="4">
        <f>SUM(F236:H236)</f>
        <v>0</v>
      </c>
    </row>
    <row r="237" spans="1:10" x14ac:dyDescent="0.25">
      <c r="A237" s="3">
        <v>45780</v>
      </c>
      <c r="B237" s="4">
        <v>7789.93</v>
      </c>
      <c r="C237" s="4">
        <v>42774.400000000001</v>
      </c>
      <c r="D237" s="20">
        <v>6183.14</v>
      </c>
      <c r="E237" s="36">
        <f t="shared" si="192"/>
        <v>56747.47</v>
      </c>
      <c r="F237" s="4">
        <f t="shared" si="250"/>
        <v>3.8100000000004002</v>
      </c>
      <c r="G237" s="4">
        <f t="shared" si="250"/>
        <v>18.989999999997963</v>
      </c>
      <c r="H237" s="4">
        <f t="shared" ref="H237" si="252">D237-D236</f>
        <v>2.9200000000000728</v>
      </c>
      <c r="I237" s="4">
        <f>SUM(F237:H237)</f>
        <v>25.719999999998436</v>
      </c>
    </row>
    <row r="238" spans="1:10" x14ac:dyDescent="0.25">
      <c r="A238" s="3">
        <v>45781</v>
      </c>
      <c r="B238" s="4">
        <v>7789.93</v>
      </c>
      <c r="C238" s="4">
        <v>42774.400000000001</v>
      </c>
      <c r="D238" s="20">
        <v>6183.14</v>
      </c>
      <c r="E238" s="36">
        <f t="shared" si="192"/>
        <v>56747.47</v>
      </c>
      <c r="F238" s="4">
        <f t="shared" si="250"/>
        <v>0</v>
      </c>
      <c r="G238" s="4">
        <f t="shared" si="250"/>
        <v>0</v>
      </c>
      <c r="H238" s="4">
        <f t="shared" ref="H238:H239" si="253">D238-D237</f>
        <v>0</v>
      </c>
      <c r="I238" s="4">
        <f t="shared" ref="I238:I239" si="254">SUM(F238:H238)</f>
        <v>0</v>
      </c>
    </row>
    <row r="239" spans="1:10" x14ac:dyDescent="0.25">
      <c r="A239" s="3">
        <v>45782</v>
      </c>
      <c r="B239" s="4">
        <v>7789.93</v>
      </c>
      <c r="C239" s="4">
        <v>42774.400000000001</v>
      </c>
      <c r="D239" s="20">
        <v>6183.14</v>
      </c>
      <c r="E239" s="36">
        <f t="shared" si="192"/>
        <v>56747.47</v>
      </c>
      <c r="F239" s="4">
        <f t="shared" si="250"/>
        <v>0</v>
      </c>
      <c r="G239" s="4">
        <f t="shared" si="250"/>
        <v>0</v>
      </c>
      <c r="H239" s="4">
        <f t="shared" si="253"/>
        <v>0</v>
      </c>
      <c r="I239" s="4">
        <f t="shared" si="254"/>
        <v>0</v>
      </c>
    </row>
    <row r="240" spans="1:10" x14ac:dyDescent="0.25">
      <c r="A240" s="3">
        <v>45783</v>
      </c>
      <c r="B240" s="4">
        <v>7793.16</v>
      </c>
      <c r="C240" s="4">
        <v>42793.41</v>
      </c>
      <c r="D240" s="20">
        <v>6186.06</v>
      </c>
      <c r="E240" s="36">
        <f t="shared" si="192"/>
        <v>56772.630000000005</v>
      </c>
      <c r="F240" s="4">
        <f t="shared" si="250"/>
        <v>3.2299999999995634</v>
      </c>
      <c r="G240" s="4">
        <f t="shared" si="250"/>
        <v>19.010000000002037</v>
      </c>
      <c r="H240" s="4">
        <f t="shared" ref="H240" si="255">D240-D239</f>
        <v>2.9200000000000728</v>
      </c>
      <c r="I240" s="4">
        <f t="shared" ref="I240" si="256">SUM(F240:H240)</f>
        <v>25.160000000001673</v>
      </c>
      <c r="J240" s="40"/>
    </row>
    <row r="241" spans="1:9" x14ac:dyDescent="0.25">
      <c r="A241" s="3">
        <v>45784</v>
      </c>
      <c r="B241" s="4">
        <v>7796.35</v>
      </c>
      <c r="C241" s="4">
        <v>42812.39</v>
      </c>
      <c r="D241" s="20">
        <v>6188.99</v>
      </c>
      <c r="E241" s="36">
        <f t="shared" si="192"/>
        <v>56797.729999999996</v>
      </c>
      <c r="F241" s="4">
        <f t="shared" si="250"/>
        <v>3.1900000000005093</v>
      </c>
      <c r="G241" s="4">
        <f t="shared" si="250"/>
        <v>18.979999999995925</v>
      </c>
      <c r="H241" s="4">
        <f t="shared" ref="H241" si="257">D241-D240</f>
        <v>2.9299999999993815</v>
      </c>
      <c r="I241" s="4">
        <f t="shared" ref="I241" si="258">SUM(F241:H241)</f>
        <v>25.099999999995816</v>
      </c>
    </row>
    <row r="242" spans="1:9" x14ac:dyDescent="0.25">
      <c r="A242" s="3">
        <v>45785</v>
      </c>
      <c r="B242" s="4">
        <v>7799.58</v>
      </c>
      <c r="C242" s="4">
        <v>42688.91</v>
      </c>
      <c r="D242" s="20">
        <v>6191.91</v>
      </c>
      <c r="E242" s="36">
        <f t="shared" si="192"/>
        <v>56680.400000000009</v>
      </c>
      <c r="F242" s="4">
        <f t="shared" si="250"/>
        <v>3.2299999999995634</v>
      </c>
      <c r="G242" s="23">
        <f t="shared" si="250"/>
        <v>-123.47999999999593</v>
      </c>
      <c r="H242" s="4">
        <f t="shared" ref="H242" si="259">D242-D241</f>
        <v>2.9200000000000728</v>
      </c>
      <c r="I242" s="4">
        <f t="shared" ref="I242" si="260">SUM(F242:H242)</f>
        <v>-117.32999999999629</v>
      </c>
    </row>
    <row r="243" spans="1:9" x14ac:dyDescent="0.25">
      <c r="B243" s="4"/>
      <c r="C243" s="56">
        <v>-4000</v>
      </c>
      <c r="D243" s="20"/>
      <c r="E243" s="36">
        <f t="shared" si="192"/>
        <v>-4000</v>
      </c>
      <c r="F243" s="4"/>
      <c r="G243" s="4"/>
      <c r="H243" s="4"/>
      <c r="I243" s="4"/>
    </row>
    <row r="244" spans="1:9" x14ac:dyDescent="0.25">
      <c r="A244" s="3"/>
      <c r="B244" s="4"/>
      <c r="C244" s="4">
        <v>38688.910000000003</v>
      </c>
      <c r="D244" s="20"/>
      <c r="E244" s="36">
        <f t="shared" si="192"/>
        <v>38688.910000000003</v>
      </c>
      <c r="F244" s="4"/>
      <c r="G244" s="4"/>
      <c r="H244" s="4"/>
      <c r="I244" s="4"/>
    </row>
    <row r="245" spans="1:9" x14ac:dyDescent="0.25">
      <c r="A245" s="3">
        <v>45786</v>
      </c>
      <c r="B245" s="4">
        <v>7802.89</v>
      </c>
      <c r="C245" s="4">
        <v>38848.129999999997</v>
      </c>
      <c r="D245" s="4">
        <v>6194.93</v>
      </c>
      <c r="E245" s="36">
        <f t="shared" si="192"/>
        <v>52845.95</v>
      </c>
      <c r="F245" s="4">
        <f>B245-B242</f>
        <v>3.3100000000004002</v>
      </c>
      <c r="G245" s="4">
        <f>C245-C244</f>
        <v>159.21999999999389</v>
      </c>
      <c r="H245" s="4">
        <f t="shared" ref="H245" si="261">D245-D242</f>
        <v>3.0200000000004366</v>
      </c>
      <c r="I245" s="4">
        <f>SUM(F245:H245)</f>
        <v>165.54999999999472</v>
      </c>
    </row>
    <row r="246" spans="1:9" x14ac:dyDescent="0.25">
      <c r="A246" s="3"/>
      <c r="B246" s="4"/>
      <c r="C246" s="56">
        <v>-5000</v>
      </c>
      <c r="D246" s="4"/>
      <c r="E246" s="36">
        <f t="shared" si="192"/>
        <v>-5000</v>
      </c>
      <c r="F246" s="4"/>
      <c r="G246" s="4"/>
      <c r="H246" s="4"/>
      <c r="I246" s="4"/>
    </row>
    <row r="247" spans="1:9" x14ac:dyDescent="0.25">
      <c r="A247" s="3"/>
      <c r="B247" s="4"/>
      <c r="C247" s="4">
        <v>33848.129999999997</v>
      </c>
      <c r="D247" s="4"/>
      <c r="E247" s="36">
        <f t="shared" si="192"/>
        <v>33848.129999999997</v>
      </c>
      <c r="F247" s="4"/>
      <c r="G247" s="4"/>
      <c r="H247" s="4"/>
      <c r="I247" s="4"/>
    </row>
    <row r="248" spans="1:9" x14ac:dyDescent="0.25">
      <c r="A248" s="3">
        <v>45787</v>
      </c>
      <c r="B248" s="4">
        <v>7806.22</v>
      </c>
      <c r="C248" s="4">
        <v>33863.54</v>
      </c>
      <c r="D248" s="4">
        <v>6197.97</v>
      </c>
      <c r="E248" s="36">
        <f t="shared" si="192"/>
        <v>47867.73</v>
      </c>
      <c r="F248" s="4">
        <f>B248-B245</f>
        <v>3.3299999999999272</v>
      </c>
      <c r="G248" s="4">
        <f>C248-C247</f>
        <v>15.410000000003492</v>
      </c>
      <c r="H248" s="4">
        <f>D248-D245</f>
        <v>3.0399999999999636</v>
      </c>
      <c r="I248" s="4">
        <f t="shared" ref="I248" si="262">SUM(F248:H248)</f>
        <v>21.780000000003383</v>
      </c>
    </row>
    <row r="249" spans="1:9" x14ac:dyDescent="0.25">
      <c r="A249" s="3">
        <v>45788</v>
      </c>
      <c r="B249" s="4">
        <v>7806.22</v>
      </c>
      <c r="C249" s="4">
        <v>33863.54</v>
      </c>
      <c r="D249" s="4">
        <v>6197.97</v>
      </c>
      <c r="E249" s="36">
        <f t="shared" si="192"/>
        <v>47867.73</v>
      </c>
      <c r="F249" s="4">
        <f>B249-B248</f>
        <v>0</v>
      </c>
      <c r="G249" s="4">
        <f>C249-C248</f>
        <v>0</v>
      </c>
      <c r="H249" s="4">
        <f>D249-D248</f>
        <v>0</v>
      </c>
      <c r="I249" s="4">
        <f>SUM(F249:H249)</f>
        <v>0</v>
      </c>
    </row>
    <row r="250" spans="1:9" x14ac:dyDescent="0.25">
      <c r="A250" s="3">
        <v>45789</v>
      </c>
      <c r="B250" s="4">
        <v>7806.22</v>
      </c>
      <c r="C250" s="4">
        <v>33863.54</v>
      </c>
      <c r="D250" s="4">
        <v>6197.97</v>
      </c>
      <c r="E250" s="36">
        <f t="shared" si="192"/>
        <v>47867.73</v>
      </c>
      <c r="F250" s="4">
        <f>B250-B249</f>
        <v>0</v>
      </c>
      <c r="G250" s="4">
        <f t="shared" ref="G250" si="263">C250-C249</f>
        <v>0</v>
      </c>
      <c r="H250" s="4">
        <f t="shared" ref="H250" si="264">D250-D249</f>
        <v>0</v>
      </c>
      <c r="I250" s="4">
        <f>SUM(F250:H250)</f>
        <v>0</v>
      </c>
    </row>
    <row r="251" spans="1:9" x14ac:dyDescent="0.25">
      <c r="B251" s="4"/>
      <c r="C251" s="56">
        <v>-3000</v>
      </c>
      <c r="D251" s="20"/>
      <c r="E251" s="36">
        <f t="shared" si="192"/>
        <v>-3000</v>
      </c>
      <c r="F251" s="4"/>
      <c r="G251" s="4"/>
      <c r="H251" s="4"/>
      <c r="I251" s="4"/>
    </row>
    <row r="252" spans="1:9" x14ac:dyDescent="0.25">
      <c r="A252" s="3">
        <v>45790</v>
      </c>
      <c r="B252" s="4">
        <v>7809.52</v>
      </c>
      <c r="C252" s="4">
        <v>30877.56</v>
      </c>
      <c r="D252" s="4">
        <v>6200.98</v>
      </c>
      <c r="E252" s="36">
        <f t="shared" si="192"/>
        <v>44888.06</v>
      </c>
      <c r="F252" s="4">
        <f>B252-B250</f>
        <v>3.3000000000001819</v>
      </c>
      <c r="G252" s="4">
        <f>C252-C250+3000</f>
        <v>14.020000000000437</v>
      </c>
      <c r="H252" s="4">
        <f>D252-D250</f>
        <v>3.0099999999993088</v>
      </c>
      <c r="I252" s="4">
        <f t="shared" ref="I252:I253" si="265">SUM(F252:H252)</f>
        <v>20.329999999999927</v>
      </c>
    </row>
    <row r="253" spans="1:9" x14ac:dyDescent="0.25">
      <c r="A253" s="3">
        <v>45791</v>
      </c>
      <c r="B253" s="4">
        <v>7812.88</v>
      </c>
      <c r="C253" s="4">
        <v>30891.57</v>
      </c>
      <c r="D253" s="4">
        <v>6204.01</v>
      </c>
      <c r="E253" s="36">
        <f t="shared" si="192"/>
        <v>44908.46</v>
      </c>
      <c r="F253" s="4">
        <f>B253-B252</f>
        <v>3.3599999999996726</v>
      </c>
      <c r="G253" s="4">
        <f>C253-C252</f>
        <v>14.009999999998399</v>
      </c>
      <c r="H253" s="4">
        <f>D253-D252</f>
        <v>3.0300000000006548</v>
      </c>
      <c r="I253" s="4">
        <f t="shared" si="265"/>
        <v>20.399999999998727</v>
      </c>
    </row>
    <row r="254" spans="1:9" x14ac:dyDescent="0.25">
      <c r="A254" s="3">
        <v>45792</v>
      </c>
      <c r="B254" s="4">
        <v>7816.2</v>
      </c>
      <c r="C254" s="4">
        <v>30805.55</v>
      </c>
      <c r="D254" s="4">
        <v>6207.05</v>
      </c>
      <c r="E254" s="36">
        <f t="shared" si="192"/>
        <v>44828.800000000003</v>
      </c>
      <c r="F254" s="4">
        <f>B254-B253</f>
        <v>3.319999999999709</v>
      </c>
      <c r="G254" s="23">
        <f t="shared" ref="G254" si="266">C254-C253</f>
        <v>-86.020000000000437</v>
      </c>
      <c r="H254" s="4">
        <f t="shared" ref="H254" si="267">D254-D253</f>
        <v>3.0399999999999636</v>
      </c>
      <c r="I254" s="4">
        <f t="shared" ref="I254" si="268">SUM(F254:H254)</f>
        <v>-79.660000000000764</v>
      </c>
    </row>
    <row r="255" spans="1:9" x14ac:dyDescent="0.25">
      <c r="A255" s="3">
        <v>45793</v>
      </c>
      <c r="B255" s="4">
        <v>7819.54</v>
      </c>
      <c r="C255" s="4">
        <v>30819.55</v>
      </c>
      <c r="D255" s="4">
        <v>6210.08</v>
      </c>
      <c r="E255" s="36">
        <f t="shared" si="192"/>
        <v>44849.17</v>
      </c>
      <c r="F255" s="4">
        <f>B255-B254</f>
        <v>3.3400000000001455</v>
      </c>
      <c r="G255" s="4">
        <f t="shared" ref="G255" si="269">C255-C254</f>
        <v>14</v>
      </c>
      <c r="H255" s="4">
        <f t="shared" ref="H255" si="270">D255-D254</f>
        <v>3.0299999999997453</v>
      </c>
      <c r="I255" s="4">
        <f t="shared" ref="I255:I261" si="271">SUM(F255:H255)</f>
        <v>20.369999999999891</v>
      </c>
    </row>
    <row r="256" spans="1:9" x14ac:dyDescent="0.25">
      <c r="A256" s="3"/>
      <c r="B256" s="4"/>
      <c r="C256" s="4">
        <v>25699.55</v>
      </c>
      <c r="D256" s="4"/>
      <c r="E256" s="36">
        <f t="shared" si="192"/>
        <v>25699.55</v>
      </c>
      <c r="F256" s="4"/>
      <c r="G256" s="4"/>
      <c r="H256" s="4"/>
      <c r="I256" s="55"/>
    </row>
    <row r="257" spans="1:10" x14ac:dyDescent="0.25">
      <c r="A257" s="3">
        <v>45794</v>
      </c>
      <c r="B257" s="4">
        <v>7822.86</v>
      </c>
      <c r="C257" s="4">
        <v>25706.240000000002</v>
      </c>
      <c r="D257" s="4">
        <v>6213.12</v>
      </c>
      <c r="E257" s="36">
        <f t="shared" si="192"/>
        <v>39742.22</v>
      </c>
      <c r="F257" s="4">
        <f>B257-B255</f>
        <v>3.319999999999709</v>
      </c>
      <c r="G257" s="4">
        <f>C257-C256</f>
        <v>6.6900000000023283</v>
      </c>
      <c r="H257" s="4">
        <f>D257-D255</f>
        <v>3.0399999999999636</v>
      </c>
      <c r="I257" s="4">
        <f t="shared" si="271"/>
        <v>13.050000000002001</v>
      </c>
    </row>
    <row r="258" spans="1:10" x14ac:dyDescent="0.25">
      <c r="A258" s="3">
        <v>45795</v>
      </c>
      <c r="B258" s="4">
        <v>7822.86</v>
      </c>
      <c r="C258" s="4">
        <v>25706.240000000002</v>
      </c>
      <c r="D258" s="4">
        <v>6213.12</v>
      </c>
      <c r="E258" s="36">
        <f t="shared" si="192"/>
        <v>39742.22</v>
      </c>
      <c r="F258" s="4">
        <f>B258-B257</f>
        <v>0</v>
      </c>
      <c r="G258" s="4">
        <f>C258-C257</f>
        <v>0</v>
      </c>
      <c r="H258" s="4">
        <f>D258-D257</f>
        <v>0</v>
      </c>
      <c r="I258" s="4">
        <f t="shared" si="271"/>
        <v>0</v>
      </c>
    </row>
    <row r="259" spans="1:10" x14ac:dyDescent="0.25">
      <c r="A259" s="3">
        <v>45796</v>
      </c>
      <c r="B259" s="4">
        <v>7822.86</v>
      </c>
      <c r="C259" s="4">
        <v>25706.240000000002</v>
      </c>
      <c r="D259" s="4">
        <v>6213.12</v>
      </c>
      <c r="E259" s="36">
        <f t="shared" si="192"/>
        <v>39742.22</v>
      </c>
      <c r="F259" s="4">
        <f>B259-B258</f>
        <v>0</v>
      </c>
      <c r="G259" s="4">
        <f t="shared" ref="G259" si="272">C259-C258</f>
        <v>0</v>
      </c>
      <c r="H259" s="4">
        <f t="shared" ref="H259" si="273">D259-D258</f>
        <v>0</v>
      </c>
      <c r="I259" s="4">
        <f t="shared" si="271"/>
        <v>0</v>
      </c>
      <c r="J259" s="40"/>
    </row>
    <row r="260" spans="1:10" x14ac:dyDescent="0.25">
      <c r="A260" s="3"/>
      <c r="B260" s="4"/>
      <c r="C260" s="56">
        <v>-5000</v>
      </c>
      <c r="D260" s="4"/>
      <c r="E260" s="36">
        <f t="shared" ref="E260:E273" si="274">SUM(B260:D260)</f>
        <v>-5000</v>
      </c>
      <c r="F260" s="4"/>
      <c r="G260" s="4"/>
      <c r="H260" s="4"/>
      <c r="I260" s="4"/>
      <c r="J260" s="40"/>
    </row>
    <row r="261" spans="1:10" x14ac:dyDescent="0.25">
      <c r="A261" s="3">
        <v>45797</v>
      </c>
      <c r="B261" s="4">
        <v>7826.2</v>
      </c>
      <c r="C261" s="4">
        <v>20715.64</v>
      </c>
      <c r="D261" s="4">
        <v>6216.15</v>
      </c>
      <c r="E261" s="36">
        <f t="shared" si="274"/>
        <v>34757.99</v>
      </c>
      <c r="F261" s="4">
        <f>B261-B259</f>
        <v>3.3400000000001455</v>
      </c>
      <c r="G261" s="4">
        <f>C261-C259+5000</f>
        <v>9.3999999999978172</v>
      </c>
      <c r="H261" s="4">
        <f t="shared" ref="H261" si="275">D261-D259</f>
        <v>3.0299999999997453</v>
      </c>
      <c r="I261" s="4">
        <f t="shared" si="271"/>
        <v>15.769999999997708</v>
      </c>
    </row>
    <row r="262" spans="1:10" x14ac:dyDescent="0.25">
      <c r="A262" s="3">
        <v>45798</v>
      </c>
      <c r="B262" s="4">
        <v>7829.54</v>
      </c>
      <c r="C262" s="4">
        <v>20725.009999999998</v>
      </c>
      <c r="D262" s="4">
        <v>6219.19</v>
      </c>
      <c r="E262" s="36">
        <f t="shared" si="274"/>
        <v>34773.74</v>
      </c>
      <c r="F262" s="4">
        <f>B262-B261</f>
        <v>3.3400000000001455</v>
      </c>
      <c r="G262" s="4">
        <f>C262-C261</f>
        <v>9.3699999999989814</v>
      </c>
      <c r="H262" s="4">
        <f>D262-D261</f>
        <v>3.0399999999999636</v>
      </c>
      <c r="I262" s="4">
        <f t="shared" ref="I262" si="276">SUM(F262:H262)</f>
        <v>15.749999999999091</v>
      </c>
    </row>
    <row r="263" spans="1:10" x14ac:dyDescent="0.25">
      <c r="A263" s="3">
        <v>45799</v>
      </c>
      <c r="B263" s="4">
        <v>7832.86</v>
      </c>
      <c r="C263" s="4">
        <v>20634.400000000001</v>
      </c>
      <c r="D263" s="4">
        <v>6222.22</v>
      </c>
      <c r="E263" s="36">
        <f t="shared" si="274"/>
        <v>34689.480000000003</v>
      </c>
      <c r="F263" s="4">
        <f>B263-B262</f>
        <v>3.319999999999709</v>
      </c>
      <c r="G263" s="23">
        <f t="shared" ref="G263" si="277">C263-C262</f>
        <v>-90.609999999996944</v>
      </c>
      <c r="H263" s="4">
        <f t="shared" ref="H263" si="278">D263-D262</f>
        <v>3.0300000000006548</v>
      </c>
      <c r="I263" s="4">
        <f t="shared" ref="I263" si="279">SUM(F263:H263)</f>
        <v>-84.25999999999658</v>
      </c>
    </row>
    <row r="264" spans="1:10" x14ac:dyDescent="0.25">
      <c r="A264" s="3">
        <v>45800</v>
      </c>
      <c r="B264" s="4">
        <v>7836.23</v>
      </c>
      <c r="C264" s="4">
        <v>20643.75</v>
      </c>
      <c r="D264" s="4">
        <v>6225.26</v>
      </c>
      <c r="E264" s="36">
        <f t="shared" si="274"/>
        <v>34705.24</v>
      </c>
      <c r="F264" s="4">
        <f>B264-B263</f>
        <v>3.3699999999998909</v>
      </c>
      <c r="G264" s="4">
        <f t="shared" ref="G264" si="280">C264-C263</f>
        <v>9.3499999999985448</v>
      </c>
      <c r="H264" s="4">
        <f t="shared" ref="H264" si="281">D264-D263</f>
        <v>3.0399999999999636</v>
      </c>
      <c r="I264" s="4">
        <f t="shared" ref="I264" si="282">SUM(F264:H264)</f>
        <v>15.759999999998399</v>
      </c>
    </row>
    <row r="265" spans="1:10" x14ac:dyDescent="0.25">
      <c r="A265" s="3"/>
      <c r="B265" s="4"/>
      <c r="C265" s="56">
        <v>-10000</v>
      </c>
      <c r="D265" s="4"/>
      <c r="E265" s="36">
        <f t="shared" si="274"/>
        <v>-10000</v>
      </c>
      <c r="F265" s="4"/>
      <c r="G265" s="4"/>
      <c r="H265" s="4"/>
      <c r="I265" s="4"/>
    </row>
    <row r="266" spans="1:10" x14ac:dyDescent="0.25">
      <c r="A266" s="3">
        <v>45801</v>
      </c>
      <c r="B266" s="4">
        <v>7839.56</v>
      </c>
      <c r="C266" s="4">
        <v>10647.59</v>
      </c>
      <c r="D266" s="4">
        <v>6228.3</v>
      </c>
      <c r="E266" s="36">
        <f t="shared" si="274"/>
        <v>24715.45</v>
      </c>
      <c r="F266" s="4">
        <f>B266-B264</f>
        <v>3.3300000000008367</v>
      </c>
      <c r="G266" s="4">
        <f>C266-C264+10000</f>
        <v>3.8400000000001455</v>
      </c>
      <c r="H266" s="4">
        <f t="shared" ref="H266" si="283">D266-D264</f>
        <v>3.0399999999999636</v>
      </c>
      <c r="I266" s="4">
        <f>SUM(F266:H266)</f>
        <v>10.210000000000946</v>
      </c>
    </row>
    <row r="267" spans="1:10" x14ac:dyDescent="0.25">
      <c r="A267" s="3">
        <v>45802</v>
      </c>
      <c r="B267" s="4">
        <v>7839.56</v>
      </c>
      <c r="C267" s="4">
        <v>10647.59</v>
      </c>
      <c r="D267" s="4">
        <v>6228.3</v>
      </c>
      <c r="E267" s="36">
        <f t="shared" si="274"/>
        <v>24715.45</v>
      </c>
      <c r="F267" s="4">
        <f t="shared" ref="F267:F273" si="284">B267-B266</f>
        <v>0</v>
      </c>
      <c r="G267" s="4">
        <f t="shared" ref="G267:G268" si="285">C267-C266</f>
        <v>0</v>
      </c>
      <c r="H267" s="4">
        <f t="shared" ref="H267:H268" si="286">D267-D266</f>
        <v>0</v>
      </c>
      <c r="I267" s="4">
        <f t="shared" ref="I267:I268" si="287">SUM(F267:H267)</f>
        <v>0</v>
      </c>
    </row>
    <row r="268" spans="1:10" x14ac:dyDescent="0.25">
      <c r="A268" s="3">
        <v>45803</v>
      </c>
      <c r="B268" s="4">
        <v>7839.56</v>
      </c>
      <c r="C268" s="4">
        <v>10647.59</v>
      </c>
      <c r="D268" s="4">
        <v>6228.3</v>
      </c>
      <c r="E268" s="36">
        <f t="shared" si="274"/>
        <v>24715.45</v>
      </c>
      <c r="F268" s="4">
        <f t="shared" si="284"/>
        <v>0</v>
      </c>
      <c r="G268" s="4">
        <f t="shared" si="285"/>
        <v>0</v>
      </c>
      <c r="H268" s="4">
        <f t="shared" si="286"/>
        <v>0</v>
      </c>
      <c r="I268" s="4">
        <f t="shared" si="287"/>
        <v>0</v>
      </c>
    </row>
    <row r="269" spans="1:10" x14ac:dyDescent="0.25">
      <c r="A269" s="3">
        <v>45804</v>
      </c>
      <c r="B269" s="4">
        <v>7842.9</v>
      </c>
      <c r="C269" s="4">
        <v>10652.39</v>
      </c>
      <c r="D269" s="4">
        <v>6231.34</v>
      </c>
      <c r="E269" s="36">
        <f t="shared" si="274"/>
        <v>24726.63</v>
      </c>
      <c r="F269" s="4">
        <f t="shared" si="284"/>
        <v>3.339999999999236</v>
      </c>
      <c r="G269" s="4">
        <f t="shared" ref="G269" si="288">C269-C268</f>
        <v>4.7999999999992724</v>
      </c>
      <c r="H269" s="4">
        <f t="shared" ref="H269" si="289">D269-D268</f>
        <v>3.0399999999999636</v>
      </c>
      <c r="I269" s="4">
        <f t="shared" ref="I269" si="290">SUM(F269:H269)</f>
        <v>11.179999999998472</v>
      </c>
      <c r="J269" s="40"/>
    </row>
    <row r="270" spans="1:10" x14ac:dyDescent="0.25">
      <c r="A270" s="3">
        <v>45805</v>
      </c>
      <c r="B270" s="4">
        <v>7846.25</v>
      </c>
      <c r="C270" s="4">
        <v>10657.22</v>
      </c>
      <c r="D270" s="4">
        <v>6234.38</v>
      </c>
      <c r="E270" s="36">
        <f t="shared" si="274"/>
        <v>24737.850000000002</v>
      </c>
      <c r="F270" s="4">
        <f t="shared" si="284"/>
        <v>3.3500000000003638</v>
      </c>
      <c r="G270" s="4">
        <f t="shared" ref="G270" si="291">C270-C269</f>
        <v>4.8299999999999272</v>
      </c>
      <c r="H270" s="4">
        <f t="shared" ref="H270" si="292">D270-D269</f>
        <v>3.0399999999999636</v>
      </c>
      <c r="I270" s="4">
        <f t="shared" ref="I270" si="293">SUM(F270:H270)</f>
        <v>11.220000000000255</v>
      </c>
    </row>
    <row r="271" spans="1:10" x14ac:dyDescent="0.25">
      <c r="A271" s="3">
        <v>45806</v>
      </c>
      <c r="B271" s="4">
        <v>7849.58</v>
      </c>
      <c r="C271" s="4">
        <v>10562.01</v>
      </c>
      <c r="D271" s="4">
        <v>6237.43</v>
      </c>
      <c r="E271" s="36">
        <f t="shared" si="274"/>
        <v>24649.02</v>
      </c>
      <c r="F271" s="4">
        <f t="shared" si="284"/>
        <v>3.3299999999999272</v>
      </c>
      <c r="G271" s="23">
        <f t="shared" ref="G271" si="294">C271-C270</f>
        <v>-95.209999999999127</v>
      </c>
      <c r="H271" s="4">
        <f t="shared" ref="H271" si="295">D271-D270</f>
        <v>3.0500000000001819</v>
      </c>
      <c r="I271" s="4">
        <f t="shared" ref="I271" si="296">SUM(F271:H271)</f>
        <v>-88.829999999999018</v>
      </c>
    </row>
    <row r="272" spans="1:10" x14ac:dyDescent="0.25">
      <c r="A272" s="3">
        <v>45807</v>
      </c>
      <c r="B272" s="4">
        <v>7852.96</v>
      </c>
      <c r="C272" s="4">
        <v>10566.81</v>
      </c>
      <c r="D272" s="4">
        <v>6240.48</v>
      </c>
      <c r="E272" s="36">
        <f t="shared" si="274"/>
        <v>24660.25</v>
      </c>
      <c r="F272" s="4">
        <f t="shared" si="284"/>
        <v>3.3800000000001091</v>
      </c>
      <c r="G272" s="7">
        <f t="shared" ref="G272:G273" si="297">C272-C271</f>
        <v>4.7999999999992724</v>
      </c>
      <c r="H272" s="4">
        <f t="shared" ref="H272:H273" si="298">D272-D271</f>
        <v>3.0499999999992724</v>
      </c>
      <c r="I272" s="4">
        <f t="shared" ref="I272:I273" si="299">SUM(F272:H272)</f>
        <v>11.229999999998654</v>
      </c>
    </row>
    <row r="273" spans="1:10" x14ac:dyDescent="0.25">
      <c r="A273" s="3">
        <v>45808</v>
      </c>
      <c r="B273" s="4">
        <v>7857.84</v>
      </c>
      <c r="C273" s="4">
        <v>10571.59</v>
      </c>
      <c r="D273" s="4">
        <v>6243.53</v>
      </c>
      <c r="E273" s="36">
        <f t="shared" si="274"/>
        <v>24672.959999999999</v>
      </c>
      <c r="F273" s="4">
        <f t="shared" si="284"/>
        <v>4.8800000000001091</v>
      </c>
      <c r="G273" s="7">
        <f t="shared" si="297"/>
        <v>4.7800000000006548</v>
      </c>
      <c r="H273" s="4">
        <f t="shared" si="298"/>
        <v>3.0500000000001819</v>
      </c>
      <c r="I273" s="4">
        <f t="shared" si="299"/>
        <v>12.710000000000946</v>
      </c>
    </row>
    <row r="274" spans="1:10" x14ac:dyDescent="0.25">
      <c r="A274" s="5" t="s">
        <v>6</v>
      </c>
      <c r="B274" s="5"/>
      <c r="C274" s="5"/>
      <c r="D274" s="5"/>
      <c r="E274" s="5"/>
      <c r="F274" s="6">
        <f>SUM(F235:F273)</f>
        <v>75.840000000000146</v>
      </c>
      <c r="G274" s="6">
        <f t="shared" ref="G274:I274" si="300">SUM(G235:G273)</f>
        <v>-39.270000000000437</v>
      </c>
      <c r="H274" s="6">
        <f t="shared" si="300"/>
        <v>66.229999999999563</v>
      </c>
      <c r="I274" s="6">
        <f t="shared" si="300"/>
        <v>102.79999999999927</v>
      </c>
    </row>
    <row r="275" spans="1:10" x14ac:dyDescent="0.25">
      <c r="E275" s="1"/>
    </row>
    <row r="276" spans="1:10" x14ac:dyDescent="0.25">
      <c r="A276" s="28">
        <v>45809</v>
      </c>
      <c r="B276" s="7">
        <v>7926.28</v>
      </c>
      <c r="C276" s="7">
        <v>10809.66</v>
      </c>
      <c r="D276" s="7">
        <v>6243.53</v>
      </c>
      <c r="E276" s="37">
        <f t="shared" ref="E276:E280" si="301">SUM(B276:D276)</f>
        <v>24979.469999999998</v>
      </c>
      <c r="F276" s="5"/>
      <c r="G276" s="5"/>
      <c r="H276" s="5"/>
      <c r="I276" s="5"/>
      <c r="J276" s="5" t="s">
        <v>19</v>
      </c>
    </row>
    <row r="277" spans="1:10" x14ac:dyDescent="0.25">
      <c r="A277" s="3">
        <v>45810</v>
      </c>
      <c r="B277" s="7">
        <v>7930.58</v>
      </c>
      <c r="C277" s="7">
        <v>10815.46</v>
      </c>
      <c r="D277" s="7">
        <v>6246.58</v>
      </c>
      <c r="E277" s="37">
        <f t="shared" si="301"/>
        <v>24992.620000000003</v>
      </c>
      <c r="F277" s="4">
        <f t="shared" ref="F277" si="302">B277-B276</f>
        <v>4.3000000000001819</v>
      </c>
      <c r="G277" s="7">
        <f t="shared" ref="G277" si="303">C277-C276</f>
        <v>5.7999999999992724</v>
      </c>
      <c r="H277" s="4">
        <f t="shared" ref="H277" si="304">D277-D276</f>
        <v>3.0500000000001819</v>
      </c>
      <c r="I277" s="4">
        <f t="shared" ref="I277" si="305">SUM(F277:H277)</f>
        <v>13.149999999999636</v>
      </c>
      <c r="J277" s="7">
        <f>AVERAGE(I277:I305)</f>
        <v>13.26388888888904</v>
      </c>
    </row>
    <row r="278" spans="1:10" x14ac:dyDescent="0.25">
      <c r="A278" s="3">
        <v>45811</v>
      </c>
      <c r="B278" s="7">
        <v>7934.56</v>
      </c>
      <c r="C278" s="7">
        <v>10821.27</v>
      </c>
      <c r="D278" s="7">
        <v>6249.63</v>
      </c>
      <c r="E278" s="37">
        <f t="shared" si="301"/>
        <v>25005.460000000003</v>
      </c>
      <c r="F278" s="4">
        <f t="shared" ref="F278" si="306">B278-B277</f>
        <v>3.9800000000004729</v>
      </c>
      <c r="G278" s="7">
        <f t="shared" ref="G278" si="307">C278-C277</f>
        <v>5.8100000000013097</v>
      </c>
      <c r="H278" s="4">
        <f t="shared" ref="H278" si="308">D278-D277</f>
        <v>3.0500000000001819</v>
      </c>
      <c r="I278" s="4">
        <f t="shared" ref="I278" si="309">SUM(F278:H278)</f>
        <v>12.840000000001965</v>
      </c>
    </row>
    <row r="279" spans="1:10" x14ac:dyDescent="0.25">
      <c r="A279" s="3">
        <v>45812</v>
      </c>
      <c r="B279" s="7">
        <v>7939.16</v>
      </c>
      <c r="C279" s="7">
        <v>10827.08</v>
      </c>
      <c r="D279" s="7">
        <v>6252.68</v>
      </c>
      <c r="E279" s="37">
        <f t="shared" si="301"/>
        <v>25018.92</v>
      </c>
      <c r="F279" s="4">
        <f t="shared" ref="F279" si="310">B279-B278</f>
        <v>4.5999999999994543</v>
      </c>
      <c r="G279" s="7">
        <f t="shared" ref="G279" si="311">C279-C278</f>
        <v>5.8099999999994907</v>
      </c>
      <c r="H279" s="4">
        <f t="shared" ref="H279" si="312">D279-D278</f>
        <v>3.0500000000001819</v>
      </c>
      <c r="I279" s="4">
        <f t="shared" ref="I279" si="313">SUM(F279:H279)</f>
        <v>13.459999999999127</v>
      </c>
    </row>
    <row r="280" spans="1:10" x14ac:dyDescent="0.25">
      <c r="A280" s="3">
        <v>45813</v>
      </c>
      <c r="B280" s="7">
        <v>7943.48</v>
      </c>
      <c r="C280" s="7">
        <v>10832.9</v>
      </c>
      <c r="D280" s="7">
        <v>6255.72</v>
      </c>
      <c r="E280" s="37">
        <f t="shared" si="301"/>
        <v>25032.1</v>
      </c>
      <c r="F280" s="4">
        <f t="shared" ref="F280" si="314">B280-B279</f>
        <v>4.319999999999709</v>
      </c>
      <c r="G280" s="7">
        <f t="shared" ref="G280" si="315">C280-C279</f>
        <v>5.819999999999709</v>
      </c>
      <c r="H280" s="4">
        <f t="shared" ref="H280" si="316">D280-D279</f>
        <v>3.0399999999999636</v>
      </c>
      <c r="I280" s="4">
        <f t="shared" ref="I280" si="317">SUM(F280:H280)</f>
        <v>13.179999999999382</v>
      </c>
    </row>
    <row r="281" spans="1:10" x14ac:dyDescent="0.25">
      <c r="A281" s="10">
        <v>45814</v>
      </c>
      <c r="B281" s="11">
        <v>7943.48</v>
      </c>
      <c r="C281" s="11">
        <v>10832.9</v>
      </c>
      <c r="D281" s="11">
        <v>6255.72</v>
      </c>
      <c r="E281" s="34">
        <f t="shared" ref="E281:E282" si="318">SUM(B281:D281)</f>
        <v>25032.1</v>
      </c>
      <c r="F281" s="11">
        <f t="shared" ref="F281:F282" si="319">B281-B280</f>
        <v>0</v>
      </c>
      <c r="G281" s="11">
        <f t="shared" ref="G281:G282" si="320">C281-C280</f>
        <v>0</v>
      </c>
      <c r="H281" s="11">
        <f t="shared" ref="H281:H282" si="321">D281-D280</f>
        <v>0</v>
      </c>
      <c r="I281" s="11"/>
    </row>
    <row r="282" spans="1:10" x14ac:dyDescent="0.25">
      <c r="A282" s="10">
        <v>45815</v>
      </c>
      <c r="B282" s="11">
        <v>7943.48</v>
      </c>
      <c r="C282" s="11">
        <v>10832.9</v>
      </c>
      <c r="D282" s="11">
        <v>6255.72</v>
      </c>
      <c r="E282" s="34">
        <f t="shared" si="318"/>
        <v>25032.1</v>
      </c>
      <c r="F282" s="11">
        <f t="shared" si="319"/>
        <v>0</v>
      </c>
      <c r="G282" s="11">
        <f t="shared" si="320"/>
        <v>0</v>
      </c>
      <c r="H282" s="11">
        <f t="shared" si="321"/>
        <v>0</v>
      </c>
      <c r="I282" s="11"/>
    </row>
    <row r="283" spans="1:10" x14ac:dyDescent="0.25">
      <c r="A283" s="3">
        <v>45816</v>
      </c>
      <c r="B283" s="7">
        <v>7947.68</v>
      </c>
      <c r="C283" s="7">
        <v>10838.71</v>
      </c>
      <c r="D283" s="7">
        <v>6258.8</v>
      </c>
      <c r="E283" s="37">
        <f>SUM(B283:D283)</f>
        <v>25045.19</v>
      </c>
      <c r="F283" s="4">
        <f>B283-B280</f>
        <v>4.2000000000007276</v>
      </c>
      <c r="G283" s="7">
        <f>C283-C280</f>
        <v>5.8099999999994907</v>
      </c>
      <c r="H283" s="4">
        <f>D283-D280</f>
        <v>3.0799999999999272</v>
      </c>
      <c r="I283" s="4">
        <f t="shared" ref="I283" si="322">SUM(F283:H283)</f>
        <v>13.090000000000146</v>
      </c>
    </row>
    <row r="284" spans="1:10" x14ac:dyDescent="0.25">
      <c r="A284" s="3">
        <v>45817</v>
      </c>
      <c r="B284" s="7">
        <v>7952.06</v>
      </c>
      <c r="C284" s="7">
        <v>10844.53</v>
      </c>
      <c r="D284" s="7">
        <v>6261.85</v>
      </c>
      <c r="E284" s="37">
        <f>SUM(B284:D284)</f>
        <v>25058.440000000002</v>
      </c>
      <c r="F284" s="4">
        <f>B284-B283</f>
        <v>4.3800000000001091</v>
      </c>
      <c r="G284" s="4">
        <f t="shared" ref="G284:I284" si="323">C284-C283</f>
        <v>5.820000000001528</v>
      </c>
      <c r="H284" s="4">
        <f t="shared" si="323"/>
        <v>3.0500000000001819</v>
      </c>
      <c r="I284" s="4">
        <f t="shared" si="323"/>
        <v>13.250000000003638</v>
      </c>
    </row>
    <row r="285" spans="1:10" x14ac:dyDescent="0.25">
      <c r="A285" s="3">
        <v>45818</v>
      </c>
      <c r="B285" s="7">
        <v>7956.38</v>
      </c>
      <c r="C285" s="7">
        <v>10850.37</v>
      </c>
      <c r="D285" s="7">
        <v>6264.9</v>
      </c>
      <c r="E285" s="37">
        <f>SUM(B285:D285)</f>
        <v>25071.65</v>
      </c>
      <c r="F285" s="4">
        <f>B285-B284</f>
        <v>4.319999999999709</v>
      </c>
      <c r="G285" s="4">
        <f t="shared" ref="G285" si="324">C285-C284</f>
        <v>5.8400000000001455</v>
      </c>
      <c r="H285" s="4">
        <f t="shared" ref="H285" si="325">D285-D284</f>
        <v>3.0499999999992724</v>
      </c>
      <c r="I285" s="4">
        <f t="shared" ref="I285" si="326">E285-E284</f>
        <v>13.209999999999127</v>
      </c>
    </row>
    <row r="286" spans="1:10" x14ac:dyDescent="0.25">
      <c r="A286" s="3">
        <v>45819</v>
      </c>
      <c r="B286" s="7">
        <v>7960.71</v>
      </c>
      <c r="C286" s="7">
        <v>10856.2</v>
      </c>
      <c r="D286" s="7">
        <v>6267.96</v>
      </c>
      <c r="E286" s="37">
        <f>SUM(B286:D286)</f>
        <v>25084.87</v>
      </c>
      <c r="F286" s="4">
        <f>B286-B285</f>
        <v>4.3299999999999272</v>
      </c>
      <c r="G286" s="4">
        <f t="shared" ref="G286" si="327">C286-C285</f>
        <v>5.8299999999999272</v>
      </c>
      <c r="H286" s="4">
        <f t="shared" ref="H286" si="328">D286-D285</f>
        <v>3.0600000000004002</v>
      </c>
      <c r="I286" s="4">
        <f t="shared" ref="I286" si="329">E286-E285</f>
        <v>13.219999999997526</v>
      </c>
    </row>
    <row r="287" spans="1:10" x14ac:dyDescent="0.25">
      <c r="A287" s="3">
        <v>45820</v>
      </c>
      <c r="B287" s="7">
        <v>7965.03</v>
      </c>
      <c r="C287" s="7">
        <v>10862.02</v>
      </c>
      <c r="D287" s="7">
        <v>6271.03</v>
      </c>
      <c r="E287" s="37">
        <f>SUM(B287:D287)</f>
        <v>25098.079999999998</v>
      </c>
      <c r="F287" s="4">
        <f>B287-B286</f>
        <v>4.319999999999709</v>
      </c>
      <c r="G287" s="4">
        <f t="shared" ref="G287" si="330">C287-C286</f>
        <v>5.819999999999709</v>
      </c>
      <c r="H287" s="4">
        <f t="shared" ref="H287" si="331">D287-D286</f>
        <v>3.069999999999709</v>
      </c>
      <c r="I287" s="4">
        <f t="shared" ref="I287" si="332">E287-E286</f>
        <v>13.209999999999127</v>
      </c>
    </row>
    <row r="288" spans="1:10" x14ac:dyDescent="0.25">
      <c r="A288" s="10">
        <v>45821</v>
      </c>
      <c r="B288" s="11">
        <v>7965.03</v>
      </c>
      <c r="C288" s="11">
        <v>10862.02</v>
      </c>
      <c r="D288" s="11">
        <v>6271.03</v>
      </c>
      <c r="E288" s="34">
        <f t="shared" ref="E288:E293" si="333">SUM(B288:D288)</f>
        <v>25098.079999999998</v>
      </c>
      <c r="F288" s="11">
        <f t="shared" ref="F288:F291" si="334">B288-B287</f>
        <v>0</v>
      </c>
      <c r="G288" s="11">
        <f t="shared" ref="G288:G291" si="335">C288-C287</f>
        <v>0</v>
      </c>
      <c r="H288" s="11">
        <f t="shared" ref="H288:H291" si="336">D288-D287</f>
        <v>0</v>
      </c>
      <c r="I288" s="11"/>
    </row>
    <row r="289" spans="1:9" x14ac:dyDescent="0.25">
      <c r="A289" s="10">
        <v>45822</v>
      </c>
      <c r="B289" s="11">
        <v>7965.03</v>
      </c>
      <c r="C289" s="11">
        <v>10862.02</v>
      </c>
      <c r="D289" s="11">
        <v>6271.03</v>
      </c>
      <c r="E289" s="34">
        <f t="shared" si="333"/>
        <v>25098.079999999998</v>
      </c>
      <c r="F289" s="11">
        <f t="shared" si="334"/>
        <v>0</v>
      </c>
      <c r="G289" s="11">
        <f t="shared" si="335"/>
        <v>0</v>
      </c>
      <c r="H289" s="11">
        <f t="shared" si="336"/>
        <v>0</v>
      </c>
      <c r="I289" s="11"/>
    </row>
    <row r="290" spans="1:9" x14ac:dyDescent="0.25">
      <c r="A290" s="10">
        <v>45823</v>
      </c>
      <c r="B290" s="11">
        <v>7965.03</v>
      </c>
      <c r="C290" s="11">
        <v>10862.02</v>
      </c>
      <c r="D290" s="11">
        <v>6271.03</v>
      </c>
      <c r="E290" s="34">
        <f t="shared" si="333"/>
        <v>25098.079999999998</v>
      </c>
      <c r="F290" s="11">
        <f t="shared" si="334"/>
        <v>0</v>
      </c>
      <c r="G290" s="11">
        <f t="shared" si="335"/>
        <v>0</v>
      </c>
      <c r="H290" s="11">
        <f t="shared" si="336"/>
        <v>0</v>
      </c>
      <c r="I290" s="11"/>
    </row>
    <row r="291" spans="1:9" x14ac:dyDescent="0.25">
      <c r="A291" s="3">
        <v>45824</v>
      </c>
      <c r="B291" s="7">
        <v>7969.32</v>
      </c>
      <c r="C291" s="7">
        <v>10867.87</v>
      </c>
      <c r="D291" s="7">
        <v>6274.1</v>
      </c>
      <c r="E291" s="37">
        <f t="shared" si="333"/>
        <v>25111.29</v>
      </c>
      <c r="F291" s="4">
        <f t="shared" si="334"/>
        <v>4.2899999999999636</v>
      </c>
      <c r="G291" s="4">
        <f t="shared" si="335"/>
        <v>5.8500000000003638</v>
      </c>
      <c r="H291" s="4">
        <f t="shared" si="336"/>
        <v>3.0700000000006185</v>
      </c>
      <c r="I291" s="4">
        <f t="shared" ref="I291" si="337">E291-E290</f>
        <v>13.210000000002765</v>
      </c>
    </row>
    <row r="292" spans="1:9" x14ac:dyDescent="0.25">
      <c r="A292" s="3">
        <v>45825</v>
      </c>
      <c r="B292" s="7">
        <v>7973.64</v>
      </c>
      <c r="C292" s="7">
        <v>10873.69</v>
      </c>
      <c r="D292" s="7">
        <v>6277.15</v>
      </c>
      <c r="E292" s="37">
        <f t="shared" si="333"/>
        <v>25124.480000000003</v>
      </c>
      <c r="F292" s="4">
        <f t="shared" ref="F292" si="338">B292-B291</f>
        <v>4.3200000000006185</v>
      </c>
      <c r="G292" s="4">
        <f t="shared" ref="G292" si="339">C292-C291</f>
        <v>5.819999999999709</v>
      </c>
      <c r="H292" s="4">
        <f t="shared" ref="H292" si="340">D292-D291</f>
        <v>3.0499999999992724</v>
      </c>
      <c r="I292" s="4">
        <f t="shared" ref="I292" si="341">E292-E291</f>
        <v>13.190000000002328</v>
      </c>
    </row>
    <row r="293" spans="1:9" x14ac:dyDescent="0.25">
      <c r="A293" s="3">
        <v>45826</v>
      </c>
      <c r="B293" s="7">
        <v>7977.36</v>
      </c>
      <c r="C293" s="7">
        <v>10879.54</v>
      </c>
      <c r="D293" s="7">
        <v>6280.24</v>
      </c>
      <c r="E293" s="37">
        <f t="shared" si="333"/>
        <v>25137.14</v>
      </c>
      <c r="F293" s="4">
        <f t="shared" ref="F293" si="342">B293-B292</f>
        <v>3.7199999999993452</v>
      </c>
      <c r="G293" s="4">
        <f t="shared" ref="G293" si="343">C293-C292</f>
        <v>5.8500000000003638</v>
      </c>
      <c r="H293" s="4">
        <f t="shared" ref="H293" si="344">D293-D292</f>
        <v>3.0900000000001455</v>
      </c>
      <c r="I293" s="4">
        <f t="shared" ref="I293" si="345">E293-E292</f>
        <v>12.659999999996217</v>
      </c>
    </row>
    <row r="294" spans="1:9" x14ac:dyDescent="0.25">
      <c r="A294" s="10">
        <v>45827</v>
      </c>
      <c r="B294" s="11">
        <v>7977.36</v>
      </c>
      <c r="C294" s="11">
        <v>10879.54</v>
      </c>
      <c r="D294" s="11">
        <v>6280.24</v>
      </c>
      <c r="E294" s="34">
        <f t="shared" ref="E294" si="346">SUM(B294:D294)</f>
        <v>25137.14</v>
      </c>
      <c r="F294" s="11">
        <f t="shared" ref="F294" si="347">B294-B293</f>
        <v>0</v>
      </c>
      <c r="G294" s="11">
        <f t="shared" ref="G294" si="348">C294-C293</f>
        <v>0</v>
      </c>
      <c r="H294" s="11">
        <f t="shared" ref="H294" si="349">D294-D293</f>
        <v>0</v>
      </c>
      <c r="I294" s="11"/>
    </row>
    <row r="295" spans="1:9" x14ac:dyDescent="0.25">
      <c r="A295" s="3">
        <v>45828</v>
      </c>
      <c r="B295" s="7">
        <v>7982.31</v>
      </c>
      <c r="C295" s="7">
        <v>10885.39</v>
      </c>
      <c r="D295" s="7">
        <v>6283.29</v>
      </c>
      <c r="E295" s="37">
        <f>SUM(B295:D295)</f>
        <v>25150.99</v>
      </c>
      <c r="F295" s="4">
        <f>B295-B293</f>
        <v>4.9500000000007276</v>
      </c>
      <c r="G295" s="4">
        <f>C295-C293</f>
        <v>5.8499999999985448</v>
      </c>
      <c r="H295" s="4">
        <f>D295-D293</f>
        <v>3.0500000000001819</v>
      </c>
      <c r="I295" s="4">
        <f>E295-E293</f>
        <v>13.850000000002183</v>
      </c>
    </row>
    <row r="296" spans="1:9" x14ac:dyDescent="0.25">
      <c r="A296" s="10">
        <v>45829</v>
      </c>
      <c r="B296" s="11">
        <v>7982.31</v>
      </c>
      <c r="C296" s="11">
        <v>10885.39</v>
      </c>
      <c r="D296" s="11">
        <v>6283.29</v>
      </c>
      <c r="E296" s="34">
        <f t="shared" ref="E296:E301" si="350">SUM(B296:D296)</f>
        <v>25150.99</v>
      </c>
      <c r="F296" s="11">
        <f t="shared" ref="F296:F297" si="351">B296-B295</f>
        <v>0</v>
      </c>
      <c r="G296" s="11">
        <f t="shared" ref="G296:G297" si="352">C296-C295</f>
        <v>0</v>
      </c>
      <c r="H296" s="11">
        <f t="shared" ref="H296:H297" si="353">D296-D295</f>
        <v>0</v>
      </c>
      <c r="I296" s="11"/>
    </row>
    <row r="297" spans="1:9" x14ac:dyDescent="0.25">
      <c r="A297" s="10">
        <v>45830</v>
      </c>
      <c r="B297" s="11">
        <v>7982.31</v>
      </c>
      <c r="C297" s="11">
        <v>10885.39</v>
      </c>
      <c r="D297" s="11">
        <v>6283.29</v>
      </c>
      <c r="E297" s="34">
        <f t="shared" si="350"/>
        <v>25150.99</v>
      </c>
      <c r="F297" s="11">
        <f t="shared" si="351"/>
        <v>0</v>
      </c>
      <c r="G297" s="11">
        <f t="shared" si="352"/>
        <v>0</v>
      </c>
      <c r="H297" s="11">
        <f t="shared" si="353"/>
        <v>0</v>
      </c>
      <c r="I297" s="11"/>
    </row>
    <row r="298" spans="1:9" x14ac:dyDescent="0.25">
      <c r="A298" s="3">
        <v>45831</v>
      </c>
      <c r="B298" s="4">
        <v>7986.68</v>
      </c>
      <c r="C298" s="4">
        <v>10891.32</v>
      </c>
      <c r="D298" s="4">
        <v>6286.4</v>
      </c>
      <c r="E298" s="6">
        <f t="shared" si="350"/>
        <v>25164.400000000001</v>
      </c>
      <c r="F298" s="4">
        <f t="shared" ref="F298" si="354">B298-B297</f>
        <v>4.3699999999998909</v>
      </c>
      <c r="G298" s="4">
        <f t="shared" ref="G298" si="355">C298-C297</f>
        <v>5.930000000000291</v>
      </c>
      <c r="H298" s="4">
        <f t="shared" ref="H298" si="356">D298-D297</f>
        <v>3.1099999999996726</v>
      </c>
      <c r="I298" s="4">
        <f t="shared" ref="I298:I302" si="357">E298-E297</f>
        <v>13.409999999999854</v>
      </c>
    </row>
    <row r="299" spans="1:9" x14ac:dyDescent="0.25">
      <c r="A299" s="3">
        <v>45832</v>
      </c>
      <c r="B299" s="4">
        <v>7991.08</v>
      </c>
      <c r="C299" s="4">
        <v>10897.27</v>
      </c>
      <c r="D299" s="4">
        <v>6289.52</v>
      </c>
      <c r="E299" s="6">
        <f t="shared" si="350"/>
        <v>25177.87</v>
      </c>
      <c r="F299" s="4">
        <f t="shared" ref="F299" si="358">B299-B298</f>
        <v>4.3999999999996362</v>
      </c>
      <c r="G299" s="4">
        <f t="shared" ref="G299" si="359">C299-C298</f>
        <v>5.9500000000007276</v>
      </c>
      <c r="H299" s="4">
        <f t="shared" ref="H299" si="360">D299-D298</f>
        <v>3.1200000000008004</v>
      </c>
      <c r="I299" s="4">
        <f t="shared" si="357"/>
        <v>13.469999999997526</v>
      </c>
    </row>
    <row r="300" spans="1:9" x14ac:dyDescent="0.25">
      <c r="A300" s="3">
        <v>45833</v>
      </c>
      <c r="B300" s="4">
        <v>7995.5</v>
      </c>
      <c r="C300" s="4">
        <v>10903.22</v>
      </c>
      <c r="D300" s="4">
        <v>6292.64</v>
      </c>
      <c r="E300" s="6">
        <f t="shared" si="350"/>
        <v>25191.360000000001</v>
      </c>
      <c r="F300" s="4">
        <f t="shared" ref="F300" si="361">B300-B299</f>
        <v>4.4200000000000728</v>
      </c>
      <c r="G300" s="4">
        <f t="shared" ref="G300:G301" si="362">C300-C299</f>
        <v>5.9499999999989086</v>
      </c>
      <c r="H300" s="4">
        <f t="shared" ref="H300" si="363">D300-D299</f>
        <v>3.1199999999998909</v>
      </c>
      <c r="I300" s="4">
        <f t="shared" si="357"/>
        <v>13.490000000001601</v>
      </c>
    </row>
    <row r="301" spans="1:9" x14ac:dyDescent="0.25">
      <c r="A301" s="3">
        <v>45834</v>
      </c>
      <c r="B301" s="4">
        <v>7999.88</v>
      </c>
      <c r="C301" s="39">
        <v>10806.35</v>
      </c>
      <c r="D301" s="4">
        <v>6295.77</v>
      </c>
      <c r="E301" s="6">
        <f t="shared" si="350"/>
        <v>25102</v>
      </c>
      <c r="F301" s="4">
        <f t="shared" ref="F301" si="364">B301-B300</f>
        <v>4.3800000000001091</v>
      </c>
      <c r="G301" s="39">
        <f t="shared" si="362"/>
        <v>-96.869999999998981</v>
      </c>
      <c r="H301" s="4">
        <f t="shared" ref="H301" si="365">D301-D300</f>
        <v>3.1300000000001091</v>
      </c>
      <c r="I301" s="4"/>
    </row>
    <row r="302" spans="1:9" x14ac:dyDescent="0.25">
      <c r="A302" s="8">
        <v>45835</v>
      </c>
      <c r="B302" s="4">
        <v>8004.3</v>
      </c>
      <c r="C302" s="41">
        <v>10812.24</v>
      </c>
      <c r="D302" s="4">
        <v>6298.88</v>
      </c>
      <c r="E302" s="6">
        <f t="shared" ref="E302:E305" si="366">SUM(B302:D302)</f>
        <v>25115.420000000002</v>
      </c>
      <c r="F302" s="4">
        <f t="shared" ref="F302" si="367">B302-B301</f>
        <v>4.4200000000000728</v>
      </c>
      <c r="G302" s="41">
        <f t="shared" ref="G302" si="368">C302-C301</f>
        <v>5.8899999999994179</v>
      </c>
      <c r="H302" s="4">
        <f t="shared" ref="H302" si="369">D302-D301</f>
        <v>3.1099999999996726</v>
      </c>
      <c r="I302" s="4">
        <f t="shared" si="357"/>
        <v>13.420000000001892</v>
      </c>
    </row>
    <row r="303" spans="1:9" x14ac:dyDescent="0.25">
      <c r="A303" s="10">
        <v>45836</v>
      </c>
      <c r="B303" s="11">
        <v>8004.3</v>
      </c>
      <c r="C303" s="42">
        <v>10812.24</v>
      </c>
      <c r="D303" s="11">
        <v>6298.88</v>
      </c>
      <c r="E303" s="34">
        <f t="shared" si="366"/>
        <v>25115.420000000002</v>
      </c>
      <c r="F303" s="11">
        <f t="shared" ref="F303:F304" si="370">B303-B302</f>
        <v>0</v>
      </c>
      <c r="G303" s="42">
        <f t="shared" ref="G303:G304" si="371">C303-C302</f>
        <v>0</v>
      </c>
      <c r="H303" s="11">
        <f t="shared" ref="H303:H304" si="372">D303-D302</f>
        <v>0</v>
      </c>
      <c r="I303" s="11"/>
    </row>
    <row r="304" spans="1:9" x14ac:dyDescent="0.25">
      <c r="A304" s="10">
        <v>45837</v>
      </c>
      <c r="B304" s="11">
        <v>8004.3</v>
      </c>
      <c r="C304" s="42">
        <v>10812.24</v>
      </c>
      <c r="D304" s="11">
        <v>6298.88</v>
      </c>
      <c r="E304" s="34">
        <f t="shared" si="366"/>
        <v>25115.420000000002</v>
      </c>
      <c r="F304" s="11">
        <f t="shared" si="370"/>
        <v>0</v>
      </c>
      <c r="G304" s="42">
        <f t="shared" si="371"/>
        <v>0</v>
      </c>
      <c r="H304" s="11">
        <f t="shared" si="372"/>
        <v>0</v>
      </c>
      <c r="I304" s="11"/>
    </row>
    <row r="305" spans="1:10" x14ac:dyDescent="0.25">
      <c r="A305" s="8">
        <v>45838</v>
      </c>
      <c r="B305" s="7">
        <v>8008.69</v>
      </c>
      <c r="C305" s="43">
        <v>10818.15</v>
      </c>
      <c r="D305" s="7">
        <v>6302.02</v>
      </c>
      <c r="E305" s="36">
        <f t="shared" si="366"/>
        <v>25128.86</v>
      </c>
      <c r="F305" s="7">
        <f t="shared" ref="F305" si="373">B305-B304</f>
        <v>4.3899999999994179</v>
      </c>
      <c r="G305" s="43">
        <f t="shared" ref="G305" si="374">C305-C304</f>
        <v>5.9099999999998545</v>
      </c>
      <c r="H305" s="7">
        <f t="shared" ref="H305" si="375">D305-D304</f>
        <v>3.1400000000003274</v>
      </c>
      <c r="I305" s="7">
        <f t="shared" ref="I305" si="376">E305-E304</f>
        <v>13.43999999999869</v>
      </c>
    </row>
    <row r="306" spans="1:10" x14ac:dyDescent="0.25">
      <c r="A306" s="5" t="s">
        <v>6</v>
      </c>
      <c r="B306" s="5"/>
      <c r="C306" s="5"/>
      <c r="D306" s="5"/>
      <c r="E306" s="5"/>
      <c r="F306" s="6">
        <f>SUM(F276:F305)</f>
        <v>82.409999999999854</v>
      </c>
      <c r="G306" s="6">
        <f t="shared" ref="G306:I306" si="377">SUM(G276:G305)</f>
        <v>8.4899999999997817</v>
      </c>
      <c r="H306" s="6">
        <f t="shared" si="377"/>
        <v>58.490000000000691</v>
      </c>
      <c r="I306" s="6">
        <f t="shared" si="377"/>
        <v>238.75000000000273</v>
      </c>
    </row>
    <row r="307" spans="1:10" x14ac:dyDescent="0.25">
      <c r="F307" s="44">
        <f>F306/B276</f>
        <v>1.0397058897742681E-2</v>
      </c>
      <c r="G307" s="44"/>
      <c r="H307" s="44">
        <f t="shared" ref="H307" si="378">H306/D276</f>
        <v>9.3680978548995025E-3</v>
      </c>
      <c r="I307" s="44"/>
    </row>
    <row r="309" spans="1:10" x14ac:dyDescent="0.25">
      <c r="A309" s="45">
        <v>45838</v>
      </c>
      <c r="B309" s="46">
        <v>8008.69</v>
      </c>
      <c r="C309" s="47">
        <v>10818.15</v>
      </c>
      <c r="D309" s="46">
        <v>6302.02</v>
      </c>
      <c r="E309" s="6">
        <f t="shared" ref="E309:E313" si="379">SUM(B309:D309)</f>
        <v>25128.86</v>
      </c>
      <c r="F309" s="57"/>
      <c r="G309" s="57"/>
      <c r="H309" s="57"/>
      <c r="I309" s="57"/>
      <c r="J309" s="5" t="s">
        <v>19</v>
      </c>
    </row>
    <row r="310" spans="1:10" x14ac:dyDescent="0.25">
      <c r="A310" s="8">
        <v>45839</v>
      </c>
      <c r="B310" s="7">
        <v>8013.1</v>
      </c>
      <c r="C310" s="43">
        <v>10824.05</v>
      </c>
      <c r="D310" s="7">
        <v>6305.14</v>
      </c>
      <c r="E310" s="6">
        <f t="shared" si="379"/>
        <v>25142.29</v>
      </c>
      <c r="F310" s="7">
        <f t="shared" ref="F310" si="380">B310-B309</f>
        <v>4.410000000000764</v>
      </c>
      <c r="G310" s="43">
        <f t="shared" ref="G310" si="381">C310-C309</f>
        <v>5.8999999999996362</v>
      </c>
      <c r="H310" s="7">
        <f t="shared" ref="H310" si="382">D310-D309</f>
        <v>3.1199999999998909</v>
      </c>
      <c r="I310" s="7">
        <f>E310-E309</f>
        <v>13.430000000000291</v>
      </c>
      <c r="J310" s="7">
        <f>AVERAGE(I310:I340)</f>
        <v>13.51913043478271</v>
      </c>
    </row>
    <row r="311" spans="1:10" x14ac:dyDescent="0.25">
      <c r="A311" s="8">
        <v>45840</v>
      </c>
      <c r="B311" s="7">
        <v>8017.51</v>
      </c>
      <c r="C311" s="43">
        <v>10829.96</v>
      </c>
      <c r="D311" s="7">
        <v>6308.28</v>
      </c>
      <c r="E311" s="6">
        <f t="shared" si="379"/>
        <v>25155.75</v>
      </c>
      <c r="F311" s="7">
        <f t="shared" ref="F311" si="383">B311-B310</f>
        <v>4.4099999999998545</v>
      </c>
      <c r="G311" s="43">
        <f t="shared" ref="G311" si="384">C311-C310</f>
        <v>5.9099999999998545</v>
      </c>
      <c r="H311" s="7">
        <f t="shared" ref="H311" si="385">D311-D310</f>
        <v>3.1399999999994179</v>
      </c>
      <c r="I311" s="7">
        <f>E311-E310</f>
        <v>13.459999999999127</v>
      </c>
    </row>
    <row r="312" spans="1:10" x14ac:dyDescent="0.25">
      <c r="A312" s="8">
        <v>45841</v>
      </c>
      <c r="B312" s="7">
        <v>8021.92</v>
      </c>
      <c r="C312" s="43">
        <v>10835.87</v>
      </c>
      <c r="D312" s="7">
        <v>6311.4</v>
      </c>
      <c r="E312" s="6">
        <f t="shared" si="379"/>
        <v>25169.190000000002</v>
      </c>
      <c r="F312" s="7">
        <f t="shared" ref="F312" si="386">B312-B311</f>
        <v>4.4099999999998545</v>
      </c>
      <c r="G312" s="43">
        <f t="shared" ref="G312" si="387">C312-C311</f>
        <v>5.9100000000016735</v>
      </c>
      <c r="H312" s="7">
        <f t="shared" ref="H312" si="388">D312-D311</f>
        <v>3.1199999999998909</v>
      </c>
      <c r="I312" s="7">
        <f>E312-E311</f>
        <v>13.440000000002328</v>
      </c>
    </row>
    <row r="313" spans="1:10" x14ac:dyDescent="0.25">
      <c r="A313" s="8">
        <v>45842</v>
      </c>
      <c r="B313" s="7">
        <v>8026.34</v>
      </c>
      <c r="C313" s="43">
        <v>10841.78</v>
      </c>
      <c r="D313" s="7">
        <v>6314.53</v>
      </c>
      <c r="E313" s="6">
        <f t="shared" si="379"/>
        <v>25182.65</v>
      </c>
      <c r="F313" s="7">
        <f t="shared" ref="F313" si="389">B313-B312</f>
        <v>4.4200000000000728</v>
      </c>
      <c r="G313" s="43">
        <f t="shared" ref="G313" si="390">C313-C312</f>
        <v>5.9099999999998545</v>
      </c>
      <c r="H313" s="7">
        <f t="shared" ref="H313" si="391">D313-D312</f>
        <v>3.1300000000001091</v>
      </c>
      <c r="I313" s="7">
        <f>E313-E312</f>
        <v>13.459999999999127</v>
      </c>
    </row>
    <row r="314" spans="1:10" x14ac:dyDescent="0.25">
      <c r="A314" s="10">
        <v>45843</v>
      </c>
      <c r="B314" s="11">
        <v>8026.34</v>
      </c>
      <c r="C314" s="42">
        <v>10841.78</v>
      </c>
      <c r="D314" s="11">
        <v>6314.53</v>
      </c>
      <c r="E314" s="34">
        <f t="shared" ref="E314:E315" si="392">SUM(B314:D314)</f>
        <v>25182.65</v>
      </c>
      <c r="F314" s="11">
        <f t="shared" ref="F314:F315" si="393">B314-B313</f>
        <v>0</v>
      </c>
      <c r="G314" s="42">
        <f t="shared" ref="G314:G315" si="394">C314-C313</f>
        <v>0</v>
      </c>
      <c r="H314" s="11">
        <f t="shared" ref="H314:H315" si="395">D314-D313</f>
        <v>0</v>
      </c>
      <c r="I314" s="11"/>
    </row>
    <row r="315" spans="1:10" x14ac:dyDescent="0.25">
      <c r="A315" s="10">
        <v>45844</v>
      </c>
      <c r="B315" s="11">
        <v>8026.34</v>
      </c>
      <c r="C315" s="42">
        <v>10841.78</v>
      </c>
      <c r="D315" s="11">
        <v>6314.53</v>
      </c>
      <c r="E315" s="34">
        <f t="shared" si="392"/>
        <v>25182.65</v>
      </c>
      <c r="F315" s="11">
        <f t="shared" si="393"/>
        <v>0</v>
      </c>
      <c r="G315" s="42">
        <f t="shared" si="394"/>
        <v>0</v>
      </c>
      <c r="H315" s="11">
        <f t="shared" si="395"/>
        <v>0</v>
      </c>
      <c r="I315" s="11"/>
    </row>
    <row r="316" spans="1:10" x14ac:dyDescent="0.25">
      <c r="A316" s="8">
        <v>45845</v>
      </c>
      <c r="B316" s="7">
        <v>8030.76</v>
      </c>
      <c r="C316" s="43">
        <v>10847.69</v>
      </c>
      <c r="D316" s="7">
        <v>6317.66</v>
      </c>
      <c r="E316" s="6">
        <f t="shared" ref="E316:E320" si="396">SUM(B316:D316)</f>
        <v>25196.11</v>
      </c>
      <c r="F316" s="4">
        <f t="shared" ref="F316" si="397">B316-B315</f>
        <v>4.4200000000000728</v>
      </c>
      <c r="G316" s="41">
        <f t="shared" ref="G316" si="398">C316-C315</f>
        <v>5.9099999999998545</v>
      </c>
      <c r="H316" s="4">
        <f t="shared" ref="H316" si="399">D316-D315</f>
        <v>3.1300000000001091</v>
      </c>
      <c r="I316" s="4">
        <f t="shared" ref="I316" si="400">E316-E315</f>
        <v>13.459999999999127</v>
      </c>
    </row>
    <row r="317" spans="1:10" x14ac:dyDescent="0.25">
      <c r="A317" s="8">
        <v>45846</v>
      </c>
      <c r="B317" s="7">
        <v>8035.16</v>
      </c>
      <c r="C317" s="43">
        <v>10853.62</v>
      </c>
      <c r="D317" s="7">
        <v>6320.79</v>
      </c>
      <c r="E317" s="6">
        <f t="shared" si="396"/>
        <v>25209.57</v>
      </c>
      <c r="F317" s="4">
        <f t="shared" ref="F317" si="401">B317-B316</f>
        <v>4.3999999999996362</v>
      </c>
      <c r="G317" s="41">
        <f t="shared" ref="G317" si="402">C317-C316</f>
        <v>5.930000000000291</v>
      </c>
      <c r="H317" s="4">
        <f t="shared" ref="H317" si="403">D317-D316</f>
        <v>3.1300000000001091</v>
      </c>
      <c r="I317" s="4">
        <f t="shared" ref="I317" si="404">E317-E316</f>
        <v>13.459999999999127</v>
      </c>
    </row>
    <row r="318" spans="1:10" x14ac:dyDescent="0.25">
      <c r="A318" s="8">
        <v>45847</v>
      </c>
      <c r="B318" s="7">
        <v>8039.61</v>
      </c>
      <c r="C318" s="43">
        <v>10859.55</v>
      </c>
      <c r="D318" s="7">
        <v>6323.95</v>
      </c>
      <c r="E318" s="6">
        <f t="shared" si="396"/>
        <v>25223.11</v>
      </c>
      <c r="F318" s="4">
        <f t="shared" ref="F318" si="405">B318-B317</f>
        <v>4.4499999999998181</v>
      </c>
      <c r="G318" s="41">
        <f t="shared" ref="G318" si="406">C318-C317</f>
        <v>5.929999999998472</v>
      </c>
      <c r="H318" s="4">
        <f t="shared" ref="H318" si="407">D318-D317</f>
        <v>3.1599999999998545</v>
      </c>
      <c r="I318" s="4">
        <f t="shared" ref="I318" si="408">E318-E317</f>
        <v>13.540000000000873</v>
      </c>
    </row>
    <row r="319" spans="1:10" x14ac:dyDescent="0.25">
      <c r="A319" s="3">
        <v>45848</v>
      </c>
      <c r="B319" s="7">
        <v>8044.02</v>
      </c>
      <c r="C319" s="43">
        <v>10865.47</v>
      </c>
      <c r="D319" s="7">
        <v>6327.07</v>
      </c>
      <c r="E319" s="6">
        <f t="shared" si="396"/>
        <v>25236.559999999998</v>
      </c>
      <c r="F319" s="4">
        <f t="shared" ref="F319" si="409">B319-B318</f>
        <v>4.410000000000764</v>
      </c>
      <c r="G319" s="41">
        <f t="shared" ref="G319" si="410">C319-C318</f>
        <v>5.9200000000000728</v>
      </c>
      <c r="H319" s="4">
        <f t="shared" ref="H319" si="411">D319-D318</f>
        <v>3.1199999999998909</v>
      </c>
      <c r="I319" s="4">
        <f t="shared" ref="I319" si="412">E319-E318</f>
        <v>13.44999999999709</v>
      </c>
    </row>
    <row r="320" spans="1:10" x14ac:dyDescent="0.25">
      <c r="A320" s="3">
        <v>45849</v>
      </c>
      <c r="B320" s="7">
        <v>8048.46</v>
      </c>
      <c r="C320" s="43">
        <v>10871.41</v>
      </c>
      <c r="D320" s="7">
        <v>6330.21</v>
      </c>
      <c r="E320" s="6">
        <f t="shared" si="396"/>
        <v>25250.079999999998</v>
      </c>
      <c r="F320" s="4">
        <f t="shared" ref="F320" si="413">B320-B319</f>
        <v>4.4399999999995998</v>
      </c>
      <c r="G320" s="41">
        <f t="shared" ref="G320" si="414">C320-C319</f>
        <v>5.9400000000005093</v>
      </c>
      <c r="H320" s="4">
        <f t="shared" ref="H320" si="415">D320-D319</f>
        <v>3.1400000000003274</v>
      </c>
      <c r="I320" s="4">
        <f t="shared" ref="I320" si="416">E320-E319</f>
        <v>13.520000000000437</v>
      </c>
    </row>
    <row r="321" spans="1:12" x14ac:dyDescent="0.25">
      <c r="A321" s="10">
        <v>45850</v>
      </c>
      <c r="B321" s="11">
        <v>8048.46</v>
      </c>
      <c r="C321" s="42">
        <v>10871.41</v>
      </c>
      <c r="D321" s="11">
        <v>6330.21</v>
      </c>
      <c r="E321" s="34">
        <f t="shared" ref="E321:E322" si="417">SUM(B321:D321)</f>
        <v>25250.079999999998</v>
      </c>
      <c r="F321" s="11">
        <f t="shared" ref="F321:F322" si="418">B321-B320</f>
        <v>0</v>
      </c>
      <c r="G321" s="42">
        <f t="shared" ref="G321:G322" si="419">C321-C320</f>
        <v>0</v>
      </c>
      <c r="H321" s="11">
        <f t="shared" ref="H321:H322" si="420">D321-D320</f>
        <v>0</v>
      </c>
      <c r="I321" s="11"/>
    </row>
    <row r="322" spans="1:12" x14ac:dyDescent="0.25">
      <c r="A322" s="10">
        <v>45851</v>
      </c>
      <c r="B322" s="11">
        <v>8048.46</v>
      </c>
      <c r="C322" s="42">
        <v>10871.41</v>
      </c>
      <c r="D322" s="11">
        <v>6330.21</v>
      </c>
      <c r="E322" s="34">
        <f t="shared" si="417"/>
        <v>25250.079999999998</v>
      </c>
      <c r="F322" s="11">
        <f t="shared" si="418"/>
        <v>0</v>
      </c>
      <c r="G322" s="42">
        <f t="shared" si="419"/>
        <v>0</v>
      </c>
      <c r="H322" s="11">
        <f t="shared" si="420"/>
        <v>0</v>
      </c>
      <c r="I322" s="11"/>
    </row>
    <row r="323" spans="1:12" x14ac:dyDescent="0.25">
      <c r="A323" s="3">
        <v>45852</v>
      </c>
      <c r="B323" s="4">
        <v>8052.9</v>
      </c>
      <c r="C323" s="41">
        <v>10877.34</v>
      </c>
      <c r="D323" s="4">
        <v>6333.36</v>
      </c>
      <c r="E323" s="6">
        <f t="shared" ref="E323:E325" si="421">SUM(B323:D323)</f>
        <v>25263.599999999999</v>
      </c>
      <c r="F323" s="4">
        <f t="shared" ref="F323" si="422">B323-B322</f>
        <v>4.4399999999995998</v>
      </c>
      <c r="G323" s="41">
        <f t="shared" ref="G323" si="423">C323-C322</f>
        <v>5.930000000000291</v>
      </c>
      <c r="H323" s="4">
        <f t="shared" ref="H323" si="424">D323-D322</f>
        <v>3.1499999999996362</v>
      </c>
      <c r="I323" s="4">
        <f t="shared" ref="I323" si="425">E323-E322</f>
        <v>13.520000000000437</v>
      </c>
    </row>
    <row r="324" spans="1:12" x14ac:dyDescent="0.25">
      <c r="A324" s="3">
        <v>45853</v>
      </c>
      <c r="B324" s="4">
        <v>8057.33</v>
      </c>
      <c r="C324" s="41">
        <v>10883.275</v>
      </c>
      <c r="D324" s="4">
        <v>6336.5049999999992</v>
      </c>
      <c r="E324" s="6">
        <f t="shared" si="421"/>
        <v>25277.11</v>
      </c>
      <c r="F324" s="4">
        <f t="shared" ref="F324" si="426">B324-B323</f>
        <v>4.430000000000291</v>
      </c>
      <c r="G324" s="41">
        <f t="shared" ref="G324" si="427">C324-C323</f>
        <v>5.9349999999994907</v>
      </c>
      <c r="H324" s="4">
        <f t="shared" ref="H324" si="428">D324-D323</f>
        <v>3.1449999999995271</v>
      </c>
      <c r="I324" s="19">
        <f t="shared" ref="I324" si="429">E324-E323</f>
        <v>13.510000000002037</v>
      </c>
      <c r="J324" s="40"/>
      <c r="K324" s="40"/>
      <c r="L324" s="40"/>
    </row>
    <row r="325" spans="1:12" x14ac:dyDescent="0.25">
      <c r="A325" s="3">
        <v>45854</v>
      </c>
      <c r="B325" s="4">
        <v>8061.76</v>
      </c>
      <c r="C325" s="41">
        <v>10889.21</v>
      </c>
      <c r="D325" s="4">
        <v>6339.65</v>
      </c>
      <c r="E325" s="6">
        <f t="shared" si="421"/>
        <v>25290.620000000003</v>
      </c>
      <c r="F325" s="4">
        <f t="shared" ref="F325" si="430">B325-B324</f>
        <v>4.430000000000291</v>
      </c>
      <c r="G325" s="41">
        <f t="shared" ref="G325" si="431">C325-C324</f>
        <v>5.9349999999994907</v>
      </c>
      <c r="H325" s="4">
        <f t="shared" ref="H325" si="432">D325-D324</f>
        <v>3.1450000000004366</v>
      </c>
      <c r="I325" s="4">
        <f t="shared" ref="I325" si="433">E325-E324</f>
        <v>13.510000000002037</v>
      </c>
      <c r="J325" s="40"/>
      <c r="K325" s="40"/>
      <c r="L325" s="40"/>
    </row>
    <row r="326" spans="1:12" x14ac:dyDescent="0.25">
      <c r="A326" s="3">
        <v>45855</v>
      </c>
      <c r="B326" s="4">
        <v>8066.2</v>
      </c>
      <c r="C326" s="41">
        <v>10895.15</v>
      </c>
      <c r="D326" s="4">
        <v>6342.79</v>
      </c>
      <c r="E326" s="6">
        <f t="shared" ref="E326:E327" si="434">SUM(B326:D326)</f>
        <v>25304.14</v>
      </c>
      <c r="F326" s="4">
        <f t="shared" ref="F326" si="435">B326-B325</f>
        <v>4.4399999999995998</v>
      </c>
      <c r="G326" s="41">
        <f t="shared" ref="G326" si="436">C326-C325</f>
        <v>5.9400000000005093</v>
      </c>
      <c r="H326" s="4">
        <f t="shared" ref="H326" si="437">D326-D325</f>
        <v>3.1400000000003274</v>
      </c>
      <c r="I326" s="4">
        <f t="shared" ref="I326" si="438">E326-E325</f>
        <v>13.519999999996799</v>
      </c>
    </row>
    <row r="327" spans="1:12" x14ac:dyDescent="0.25">
      <c r="A327" s="3">
        <v>45856</v>
      </c>
      <c r="B327" s="4">
        <v>8070.63</v>
      </c>
      <c r="C327" s="41">
        <v>10901.09</v>
      </c>
      <c r="D327" s="4">
        <v>6345.94</v>
      </c>
      <c r="E327" s="6">
        <f t="shared" si="434"/>
        <v>25317.66</v>
      </c>
      <c r="F327" s="4">
        <f t="shared" ref="F327" si="439">B327-B326</f>
        <v>4.430000000000291</v>
      </c>
      <c r="G327" s="41">
        <f t="shared" ref="G327" si="440">C327-C326</f>
        <v>5.9400000000005093</v>
      </c>
      <c r="H327" s="4">
        <f t="shared" ref="H327" si="441">D327-D326</f>
        <v>3.1499999999996362</v>
      </c>
      <c r="I327" s="4">
        <f t="shared" ref="I327" si="442">E327-E326</f>
        <v>13.520000000000437</v>
      </c>
    </row>
    <row r="328" spans="1:12" x14ac:dyDescent="0.25">
      <c r="A328" s="10">
        <v>45857</v>
      </c>
      <c r="B328" s="11">
        <v>8070.63</v>
      </c>
      <c r="C328" s="42">
        <v>10901.09</v>
      </c>
      <c r="D328" s="11">
        <v>6345.94</v>
      </c>
      <c r="E328" s="34">
        <f t="shared" ref="E328:E340" si="443">SUM(B328:D328)</f>
        <v>25317.66</v>
      </c>
      <c r="F328" s="11">
        <f t="shared" ref="F328:F329" si="444">B328-B327</f>
        <v>0</v>
      </c>
      <c r="G328" s="42">
        <f t="shared" ref="G328:G329" si="445">C328-C327</f>
        <v>0</v>
      </c>
      <c r="H328" s="11">
        <f t="shared" ref="H328:H329" si="446">D328-D327</f>
        <v>0</v>
      </c>
      <c r="I328" s="11"/>
    </row>
    <row r="329" spans="1:12" x14ac:dyDescent="0.25">
      <c r="A329" s="10">
        <v>45858</v>
      </c>
      <c r="B329" s="11">
        <v>8070.63</v>
      </c>
      <c r="C329" s="42">
        <v>10901.09</v>
      </c>
      <c r="D329" s="11">
        <v>6345.94</v>
      </c>
      <c r="E329" s="34">
        <f t="shared" si="443"/>
        <v>25317.66</v>
      </c>
      <c r="F329" s="11">
        <f t="shared" si="444"/>
        <v>0</v>
      </c>
      <c r="G329" s="42">
        <f t="shared" si="445"/>
        <v>0</v>
      </c>
      <c r="H329" s="11">
        <f t="shared" si="446"/>
        <v>0</v>
      </c>
      <c r="I329" s="11"/>
    </row>
    <row r="330" spans="1:12" x14ac:dyDescent="0.25">
      <c r="A330" s="3">
        <v>45859</v>
      </c>
      <c r="B330" s="4">
        <v>8075.09</v>
      </c>
      <c r="C330" s="41">
        <v>10907.06</v>
      </c>
      <c r="D330" s="4">
        <v>6349.08</v>
      </c>
      <c r="E330" s="6">
        <f t="shared" si="443"/>
        <v>25331.230000000003</v>
      </c>
      <c r="F330" s="4">
        <f t="shared" ref="F330" si="447">B330-B329</f>
        <v>4.4600000000000364</v>
      </c>
      <c r="G330" s="41">
        <f t="shared" ref="G330" si="448">C330-C329</f>
        <v>5.9699999999993452</v>
      </c>
      <c r="H330" s="4">
        <f t="shared" ref="H330" si="449">D330-D329</f>
        <v>3.1400000000003274</v>
      </c>
      <c r="I330" s="4">
        <f t="shared" ref="I330" si="450">E330-E329</f>
        <v>13.570000000003347</v>
      </c>
    </row>
    <row r="331" spans="1:12" x14ac:dyDescent="0.25">
      <c r="A331" s="3">
        <v>45860</v>
      </c>
      <c r="B331" s="4">
        <v>8079.52</v>
      </c>
      <c r="C331" s="41">
        <v>10913</v>
      </c>
      <c r="D331" s="4">
        <v>6352.23</v>
      </c>
      <c r="E331" s="6">
        <f t="shared" si="443"/>
        <v>25344.75</v>
      </c>
      <c r="F331" s="4">
        <f t="shared" ref="F331" si="451">B331-B330</f>
        <v>4.430000000000291</v>
      </c>
      <c r="G331" s="41">
        <f t="shared" ref="G331" si="452">C331-C330</f>
        <v>5.9400000000005093</v>
      </c>
      <c r="H331" s="4">
        <f t="shared" ref="H331" si="453">D331-D330</f>
        <v>3.1499999999996362</v>
      </c>
      <c r="I331" s="4">
        <f t="shared" ref="I331" si="454">E331-E330</f>
        <v>13.519999999996799</v>
      </c>
    </row>
    <row r="332" spans="1:12" x14ac:dyDescent="0.25">
      <c r="A332" s="3">
        <v>45861</v>
      </c>
      <c r="B332" s="4">
        <v>8083.98</v>
      </c>
      <c r="C332" s="41">
        <v>10918.96</v>
      </c>
      <c r="D332" s="4">
        <v>6355.39</v>
      </c>
      <c r="E332" s="6">
        <f t="shared" si="443"/>
        <v>25358.329999999998</v>
      </c>
      <c r="F332" s="4">
        <f t="shared" ref="F332" si="455">B332-B331</f>
        <v>4.4599999999991269</v>
      </c>
      <c r="G332" s="41">
        <f t="shared" ref="G332" si="456">C332-C331</f>
        <v>5.9599999999991269</v>
      </c>
      <c r="H332" s="4">
        <f t="shared" ref="H332" si="457">D332-D331</f>
        <v>3.160000000000764</v>
      </c>
      <c r="I332" s="4">
        <f t="shared" ref="I332" si="458">E332-E331</f>
        <v>13.579999999998108</v>
      </c>
    </row>
    <row r="333" spans="1:12" x14ac:dyDescent="0.25">
      <c r="A333" s="8">
        <v>45862</v>
      </c>
      <c r="B333" s="4">
        <v>8088.42</v>
      </c>
      <c r="C333" s="41">
        <v>10924.91</v>
      </c>
      <c r="D333" s="4">
        <v>6358.54</v>
      </c>
      <c r="E333" s="6">
        <f t="shared" si="443"/>
        <v>25371.870000000003</v>
      </c>
      <c r="F333" s="4">
        <f t="shared" ref="F333" si="459">B333-B332</f>
        <v>4.4400000000005093</v>
      </c>
      <c r="G333" s="41">
        <f t="shared" ref="G333" si="460">C333-C332</f>
        <v>5.9500000000007276</v>
      </c>
      <c r="H333" s="4">
        <f t="shared" ref="H333" si="461">D333-D332</f>
        <v>3.1499999999996362</v>
      </c>
      <c r="I333" s="4">
        <f t="shared" ref="I333" si="462">E333-E332</f>
        <v>13.540000000004511</v>
      </c>
    </row>
    <row r="334" spans="1:12" x14ac:dyDescent="0.25">
      <c r="A334" s="3">
        <v>45863</v>
      </c>
      <c r="B334" s="4">
        <v>8092.88</v>
      </c>
      <c r="C334" s="41">
        <v>10930.88</v>
      </c>
      <c r="D334" s="4">
        <v>6361.7</v>
      </c>
      <c r="E334" s="6">
        <f t="shared" si="443"/>
        <v>25385.46</v>
      </c>
      <c r="F334" s="4">
        <f t="shared" ref="F334" si="463">B334-B333</f>
        <v>4.4600000000000364</v>
      </c>
      <c r="G334" s="41">
        <f t="shared" ref="G334" si="464">C334-C333</f>
        <v>5.9699999999993452</v>
      </c>
      <c r="H334" s="4">
        <f t="shared" ref="H334" si="465">D334-D333</f>
        <v>3.1599999999998545</v>
      </c>
      <c r="I334" s="4">
        <f t="shared" ref="I334" si="466">E334-E333</f>
        <v>13.589999999996508</v>
      </c>
    </row>
    <row r="335" spans="1:12" x14ac:dyDescent="0.25">
      <c r="A335" s="10">
        <v>45864</v>
      </c>
      <c r="B335" s="11">
        <v>8092.88</v>
      </c>
      <c r="C335" s="42">
        <v>10930.88</v>
      </c>
      <c r="D335" s="11">
        <v>6361.7</v>
      </c>
      <c r="E335" s="34">
        <f t="shared" si="443"/>
        <v>25385.46</v>
      </c>
      <c r="F335" s="11">
        <f t="shared" ref="F335:F336" si="467">B335-B334</f>
        <v>0</v>
      </c>
      <c r="G335" s="42">
        <f t="shared" ref="G335:G336" si="468">C335-C334</f>
        <v>0</v>
      </c>
      <c r="H335" s="11">
        <f t="shared" ref="H335:H336" si="469">D335-D334</f>
        <v>0</v>
      </c>
      <c r="I335" s="4"/>
    </row>
    <row r="336" spans="1:12" x14ac:dyDescent="0.25">
      <c r="A336" s="10">
        <v>45865</v>
      </c>
      <c r="B336" s="11">
        <v>8092.88</v>
      </c>
      <c r="C336" s="42">
        <v>10930.88</v>
      </c>
      <c r="D336" s="11">
        <v>6361.7</v>
      </c>
      <c r="E336" s="34">
        <f t="shared" si="443"/>
        <v>25385.46</v>
      </c>
      <c r="F336" s="11">
        <f t="shared" si="467"/>
        <v>0</v>
      </c>
      <c r="G336" s="42">
        <f t="shared" si="468"/>
        <v>0</v>
      </c>
      <c r="H336" s="11">
        <f t="shared" si="469"/>
        <v>0</v>
      </c>
      <c r="I336" s="4"/>
    </row>
    <row r="337" spans="1:10" x14ac:dyDescent="0.25">
      <c r="A337" s="3">
        <v>45866</v>
      </c>
      <c r="B337" s="4">
        <v>8097.33</v>
      </c>
      <c r="C337" s="41">
        <v>10936.85</v>
      </c>
      <c r="D337" s="4">
        <v>6364.85</v>
      </c>
      <c r="E337" s="6">
        <f t="shared" si="443"/>
        <v>25399.03</v>
      </c>
      <c r="F337" s="4">
        <f t="shared" ref="F337" si="470">B337-B336</f>
        <v>4.4499999999998181</v>
      </c>
      <c r="G337" s="41">
        <f t="shared" ref="G337" si="471">C337-C336</f>
        <v>5.9700000000011642</v>
      </c>
      <c r="H337" s="4">
        <f t="shared" ref="H337" si="472">D337-D336</f>
        <v>3.1500000000005457</v>
      </c>
      <c r="I337" s="4">
        <f t="shared" ref="I337" si="473">E337-E336</f>
        <v>13.569999999999709</v>
      </c>
    </row>
    <row r="338" spans="1:10" x14ac:dyDescent="0.25">
      <c r="A338" s="3">
        <v>45867</v>
      </c>
      <c r="B338" s="4">
        <v>8101.78</v>
      </c>
      <c r="C338" s="41">
        <v>10942.82</v>
      </c>
      <c r="D338" s="4">
        <v>6368</v>
      </c>
      <c r="E338" s="6">
        <f t="shared" si="443"/>
        <v>25412.6</v>
      </c>
      <c r="F338" s="4">
        <f t="shared" ref="F338" si="474">B338-B337</f>
        <v>4.4499999999998181</v>
      </c>
      <c r="G338" s="41">
        <f t="shared" ref="G338" si="475">C338-C337</f>
        <v>5.9699999999993452</v>
      </c>
      <c r="H338" s="4">
        <f t="shared" ref="H338" si="476">D338-D337</f>
        <v>3.1499999999996362</v>
      </c>
      <c r="I338" s="4">
        <f t="shared" ref="I338" si="477">E338-E337</f>
        <v>13.569999999999709</v>
      </c>
    </row>
    <row r="339" spans="1:10" x14ac:dyDescent="0.25">
      <c r="A339" s="3">
        <v>45868</v>
      </c>
      <c r="B339" s="4">
        <v>8106.25</v>
      </c>
      <c r="C339" s="41">
        <v>10948.79</v>
      </c>
      <c r="D339" s="4">
        <v>6371.17</v>
      </c>
      <c r="E339" s="6">
        <f t="shared" si="443"/>
        <v>25426.21</v>
      </c>
      <c r="F339" s="4">
        <f t="shared" ref="F339" si="478">B339-B338</f>
        <v>4.4700000000002547</v>
      </c>
      <c r="G339" s="41">
        <f t="shared" ref="G339" si="479">C339-C338</f>
        <v>5.9700000000011642</v>
      </c>
      <c r="H339" s="4">
        <f t="shared" ref="H339" si="480">D339-D338</f>
        <v>3.1700000000000728</v>
      </c>
      <c r="I339" s="4">
        <f t="shared" ref="I339" si="481">E339-E338</f>
        <v>13.610000000000582</v>
      </c>
    </row>
    <row r="340" spans="1:10" x14ac:dyDescent="0.25">
      <c r="A340" s="3">
        <v>45869</v>
      </c>
      <c r="B340" s="4">
        <v>8110.7</v>
      </c>
      <c r="C340" s="41">
        <v>10954.77</v>
      </c>
      <c r="D340" s="4">
        <v>6374.33</v>
      </c>
      <c r="E340" s="6">
        <f t="shared" si="443"/>
        <v>25439.800000000003</v>
      </c>
      <c r="F340" s="4">
        <f t="shared" ref="F340" si="482">B340-B339</f>
        <v>4.4499999999998181</v>
      </c>
      <c r="G340" s="41">
        <f t="shared" ref="G340" si="483">C340-C339</f>
        <v>5.9799999999995634</v>
      </c>
      <c r="H340" s="4">
        <f t="shared" ref="H340" si="484">D340-D339</f>
        <v>3.1599999999998545</v>
      </c>
      <c r="I340" s="4">
        <f t="shared" ref="I340" si="485">E340-E339</f>
        <v>13.590000000003783</v>
      </c>
    </row>
    <row r="341" spans="1:10" x14ac:dyDescent="0.25">
      <c r="A341" s="5" t="s">
        <v>6</v>
      </c>
      <c r="B341" s="5"/>
      <c r="C341" s="5"/>
      <c r="D341" s="5"/>
      <c r="E341" s="5"/>
      <c r="F341" s="6">
        <f>SUM(F310:F340)</f>
        <v>102.01000000000022</v>
      </c>
      <c r="G341" s="6">
        <f t="shared" ref="G341:I341" si="486">SUM(G310:G340)</f>
        <v>136.6200000000008</v>
      </c>
      <c r="H341" s="6">
        <f t="shared" si="486"/>
        <v>72.309999999999491</v>
      </c>
      <c r="I341" s="6">
        <f t="shared" si="486"/>
        <v>310.94000000000233</v>
      </c>
    </row>
    <row r="342" spans="1:10" x14ac:dyDescent="0.25">
      <c r="F342" s="44">
        <f>F341/B309</f>
        <v>1.2737413984059844E-2</v>
      </c>
      <c r="G342" s="44">
        <f t="shared" ref="G342:I342" si="487">G341/C309</f>
        <v>1.2628776639259097E-2</v>
      </c>
      <c r="H342" s="44">
        <f t="shared" si="487"/>
        <v>1.1474098781025685E-2</v>
      </c>
      <c r="I342" s="44">
        <f t="shared" si="487"/>
        <v>1.2373820380232223E-2</v>
      </c>
    </row>
    <row r="343" spans="1:10" x14ac:dyDescent="0.25">
      <c r="F343" s="52"/>
      <c r="G343" s="52"/>
      <c r="H343" s="52"/>
      <c r="I343" s="52"/>
    </row>
    <row r="344" spans="1:10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 t="s">
        <v>19</v>
      </c>
    </row>
    <row r="345" spans="1:10" x14ac:dyDescent="0.25">
      <c r="A345" s="3">
        <v>45870</v>
      </c>
      <c r="B345" s="4">
        <v>8115.18</v>
      </c>
      <c r="C345" s="41">
        <v>10960.75</v>
      </c>
      <c r="D345" s="4">
        <v>6377.49</v>
      </c>
      <c r="E345" s="6">
        <f t="shared" ref="E345" si="488">SUM(B345:D345)</f>
        <v>25453.42</v>
      </c>
      <c r="F345" s="4">
        <f>B345-B340</f>
        <v>4.4800000000004729</v>
      </c>
      <c r="G345" s="4">
        <f t="shared" ref="G345:H345" si="489">C345-C340</f>
        <v>5.9799999999995634</v>
      </c>
      <c r="H345" s="4">
        <f t="shared" si="489"/>
        <v>3.1599999999998545</v>
      </c>
      <c r="I345" s="4">
        <f>SUM(F345:H345)</f>
        <v>13.619999999999891</v>
      </c>
      <c r="J345" s="4">
        <f>AVERAGE(I345:I375)</f>
        <v>13.679999999999987</v>
      </c>
    </row>
    <row r="346" spans="1:10" x14ac:dyDescent="0.25">
      <c r="A346" s="49">
        <v>45871</v>
      </c>
      <c r="B346" s="38">
        <v>8115.18</v>
      </c>
      <c r="C346" s="50">
        <v>10960.75</v>
      </c>
      <c r="D346" s="38">
        <v>6377.49</v>
      </c>
      <c r="E346" s="51">
        <f t="shared" ref="E346:E347" si="490">SUM(B346:D346)</f>
        <v>25453.42</v>
      </c>
      <c r="F346" s="38">
        <f t="shared" ref="F346:F351" si="491">B346-B345</f>
        <v>0</v>
      </c>
      <c r="G346" s="38">
        <f t="shared" ref="G346:H346" si="492">C346-C345</f>
        <v>0</v>
      </c>
      <c r="H346" s="38">
        <f t="shared" si="492"/>
        <v>0</v>
      </c>
      <c r="I346" s="38"/>
    </row>
    <row r="347" spans="1:10" x14ac:dyDescent="0.25">
      <c r="A347" s="49">
        <v>45872</v>
      </c>
      <c r="B347" s="38">
        <v>8115.18</v>
      </c>
      <c r="C347" s="50">
        <v>10960.75</v>
      </c>
      <c r="D347" s="38">
        <v>6377.49</v>
      </c>
      <c r="E347" s="51">
        <f t="shared" si="490"/>
        <v>25453.42</v>
      </c>
      <c r="F347" s="38">
        <f t="shared" si="491"/>
        <v>0</v>
      </c>
      <c r="G347" s="38">
        <f t="shared" ref="G347" si="493">C347-C346</f>
        <v>0</v>
      </c>
      <c r="H347" s="38">
        <f t="shared" ref="H347" si="494">D347-D346</f>
        <v>0</v>
      </c>
      <c r="I347" s="38"/>
    </row>
    <row r="348" spans="1:10" x14ac:dyDescent="0.25">
      <c r="A348" s="3">
        <v>45873</v>
      </c>
      <c r="B348" s="4">
        <v>8119.65</v>
      </c>
      <c r="C348" s="41">
        <v>10966.72</v>
      </c>
      <c r="D348" s="4">
        <v>6380.65</v>
      </c>
      <c r="E348" s="6">
        <f t="shared" ref="E348" si="495">SUM(B348:D348)</f>
        <v>25467.019999999997</v>
      </c>
      <c r="F348" s="4">
        <f t="shared" si="491"/>
        <v>4.4699999999993452</v>
      </c>
      <c r="G348" s="4">
        <f t="shared" ref="G348" si="496">C348-C347</f>
        <v>5.9699999999993452</v>
      </c>
      <c r="H348" s="4">
        <f t="shared" ref="H348" si="497">D348-D347</f>
        <v>3.1599999999998545</v>
      </c>
      <c r="I348" s="4">
        <f t="shared" ref="I348" si="498">SUM(F348:H348)</f>
        <v>13.599999999998545</v>
      </c>
    </row>
    <row r="349" spans="1:10" x14ac:dyDescent="0.25">
      <c r="A349" s="3">
        <v>45874</v>
      </c>
      <c r="B349" s="4">
        <v>8124.1</v>
      </c>
      <c r="C349" s="41">
        <v>10972.71</v>
      </c>
      <c r="D349" s="4">
        <v>6383.82</v>
      </c>
      <c r="E349" s="6">
        <f t="shared" ref="E349" si="499">SUM(B349:D349)</f>
        <v>25480.629999999997</v>
      </c>
      <c r="F349" s="4">
        <f t="shared" si="491"/>
        <v>4.4500000000007276</v>
      </c>
      <c r="G349" s="4">
        <f t="shared" ref="G349" si="500">C349-C348</f>
        <v>5.9899999999997817</v>
      </c>
      <c r="H349" s="4">
        <f t="shared" ref="H349" si="501">D349-D348</f>
        <v>3.1700000000000728</v>
      </c>
      <c r="I349" s="4">
        <f t="shared" ref="I349" si="502">SUM(F349:H349)</f>
        <v>13.610000000000582</v>
      </c>
    </row>
    <row r="350" spans="1:10" x14ac:dyDescent="0.25">
      <c r="A350" s="3">
        <v>45875</v>
      </c>
      <c r="B350" s="4">
        <v>8128.58</v>
      </c>
      <c r="C350" s="41">
        <v>10978.7</v>
      </c>
      <c r="D350" s="4">
        <v>6387</v>
      </c>
      <c r="E350" s="6">
        <f t="shared" ref="E350:E358" si="503">SUM(B350:D350)</f>
        <v>25494.28</v>
      </c>
      <c r="F350" s="4">
        <f t="shared" si="491"/>
        <v>4.4799999999995634</v>
      </c>
      <c r="G350" s="4">
        <f t="shared" ref="G350" si="504">C350-C349</f>
        <v>5.9900000000016007</v>
      </c>
      <c r="H350" s="4">
        <f t="shared" ref="H350" si="505">D350-D349</f>
        <v>3.180000000000291</v>
      </c>
      <c r="I350" s="4">
        <f t="shared" ref="I350" si="506">SUM(F350:H350)</f>
        <v>13.650000000001455</v>
      </c>
    </row>
    <row r="351" spans="1:10" x14ac:dyDescent="0.25">
      <c r="A351" s="3">
        <v>45876</v>
      </c>
      <c r="B351" s="4">
        <v>8133.06</v>
      </c>
      <c r="C351" s="41">
        <v>10984.69</v>
      </c>
      <c r="D351" s="4">
        <v>6390.16</v>
      </c>
      <c r="E351" s="6">
        <f t="shared" si="503"/>
        <v>25507.91</v>
      </c>
      <c r="F351" s="4">
        <f t="shared" si="491"/>
        <v>4.4800000000004729</v>
      </c>
      <c r="G351" s="4">
        <f t="shared" ref="G351" si="507">C351-C350</f>
        <v>5.9899999999997817</v>
      </c>
      <c r="H351" s="4">
        <f t="shared" ref="H351" si="508">D351-D350</f>
        <v>3.1599999999998545</v>
      </c>
      <c r="I351" s="4">
        <f t="shared" ref="I351" si="509">SUM(F351:H351)</f>
        <v>13.630000000000109</v>
      </c>
    </row>
    <row r="352" spans="1:10" x14ac:dyDescent="0.25">
      <c r="A352" s="3">
        <v>45877</v>
      </c>
      <c r="B352" s="4">
        <v>8137.52</v>
      </c>
      <c r="C352" s="41">
        <v>10990.7</v>
      </c>
      <c r="D352" s="4">
        <v>6393.34</v>
      </c>
      <c r="E352" s="6">
        <f t="shared" si="503"/>
        <v>25521.56</v>
      </c>
      <c r="F352" s="4">
        <f t="shared" ref="F352" si="510">B352-B351</f>
        <v>4.4600000000000364</v>
      </c>
      <c r="G352" s="4">
        <f t="shared" ref="G352" si="511">C352-C351</f>
        <v>6.0100000000002183</v>
      </c>
      <c r="H352" s="4">
        <f t="shared" ref="H352" si="512">D352-D351</f>
        <v>3.180000000000291</v>
      </c>
      <c r="I352" s="4">
        <f t="shared" ref="I352" si="513">SUM(F352:H352)</f>
        <v>13.650000000000546</v>
      </c>
    </row>
    <row r="353" spans="1:9" x14ac:dyDescent="0.25">
      <c r="A353" s="49">
        <v>45878</v>
      </c>
      <c r="B353" s="38">
        <v>8137.52</v>
      </c>
      <c r="C353" s="50">
        <v>10990.7</v>
      </c>
      <c r="D353" s="38">
        <v>6393.34</v>
      </c>
      <c r="E353" s="51">
        <f t="shared" si="503"/>
        <v>25521.56</v>
      </c>
      <c r="F353" s="38">
        <f t="shared" ref="F353:F354" si="514">B353-B352</f>
        <v>0</v>
      </c>
      <c r="G353" s="38">
        <f t="shared" ref="G353:G354" si="515">C353-C352</f>
        <v>0</v>
      </c>
      <c r="H353" s="38">
        <f t="shared" ref="H353:H354" si="516">D353-D352</f>
        <v>0</v>
      </c>
      <c r="I353" s="38"/>
    </row>
    <row r="354" spans="1:9" x14ac:dyDescent="0.25">
      <c r="A354" s="49">
        <v>45879</v>
      </c>
      <c r="B354" s="38">
        <v>8137.52</v>
      </c>
      <c r="C354" s="50">
        <v>10990.7</v>
      </c>
      <c r="D354" s="38">
        <v>6393.34</v>
      </c>
      <c r="E354" s="51">
        <f t="shared" si="503"/>
        <v>25521.56</v>
      </c>
      <c r="F354" s="38">
        <f t="shared" si="514"/>
        <v>0</v>
      </c>
      <c r="G354" s="38">
        <f t="shared" si="515"/>
        <v>0</v>
      </c>
      <c r="H354" s="38">
        <f t="shared" si="516"/>
        <v>0</v>
      </c>
      <c r="I354" s="38"/>
    </row>
    <row r="355" spans="1:9" x14ac:dyDescent="0.25">
      <c r="A355" s="3">
        <v>45880</v>
      </c>
      <c r="B355" s="4">
        <v>8142.01</v>
      </c>
      <c r="C355" s="41">
        <v>10996.69</v>
      </c>
      <c r="D355" s="4">
        <v>6396.49</v>
      </c>
      <c r="E355" s="6">
        <f t="shared" si="503"/>
        <v>25535.190000000002</v>
      </c>
      <c r="F355" s="4">
        <f t="shared" ref="F355" si="517">B355-B354</f>
        <v>4.4899999999997817</v>
      </c>
      <c r="G355" s="4">
        <f t="shared" ref="G355" si="518">C355-C354</f>
        <v>5.9899999999997817</v>
      </c>
      <c r="H355" s="4">
        <f t="shared" ref="H355" si="519">D355-D354</f>
        <v>3.1499999999996362</v>
      </c>
      <c r="I355" s="4">
        <f t="shared" ref="I355" si="520">SUM(F355:H355)</f>
        <v>13.6299999999992</v>
      </c>
    </row>
    <row r="356" spans="1:9" x14ac:dyDescent="0.25">
      <c r="A356" s="3">
        <v>45881</v>
      </c>
      <c r="B356" s="4">
        <v>8146.5</v>
      </c>
      <c r="C356" s="41">
        <v>11002.69</v>
      </c>
      <c r="D356" s="4">
        <v>6399.68</v>
      </c>
      <c r="E356" s="6">
        <f t="shared" si="503"/>
        <v>25548.870000000003</v>
      </c>
      <c r="F356" s="4">
        <f t="shared" ref="F356" si="521">B356-B355</f>
        <v>4.4899999999997817</v>
      </c>
      <c r="G356" s="4">
        <f t="shared" ref="G356" si="522">C356-C355</f>
        <v>6</v>
      </c>
      <c r="H356" s="4">
        <f t="shared" ref="H356" si="523">D356-D355</f>
        <v>3.1900000000005093</v>
      </c>
      <c r="I356" s="4">
        <f t="shared" ref="I356" si="524">SUM(F356:H356)</f>
        <v>13.680000000000291</v>
      </c>
    </row>
    <row r="357" spans="1:9" x14ac:dyDescent="0.25">
      <c r="A357" s="3">
        <v>45882</v>
      </c>
      <c r="B357" s="4">
        <v>8150.98</v>
      </c>
      <c r="C357" s="41">
        <v>11008.68</v>
      </c>
      <c r="D357" s="4">
        <v>6402.86</v>
      </c>
      <c r="E357" s="6">
        <f t="shared" si="503"/>
        <v>25562.52</v>
      </c>
      <c r="F357" s="4">
        <f t="shared" ref="F357" si="525">B357-B356</f>
        <v>4.4799999999995634</v>
      </c>
      <c r="G357" s="4">
        <f t="shared" ref="G357" si="526">C357-C356</f>
        <v>5.9899999999997817</v>
      </c>
      <c r="H357" s="4">
        <f t="shared" ref="H357" si="527">D357-D356</f>
        <v>3.1799999999993815</v>
      </c>
      <c r="I357" s="4">
        <f t="shared" ref="I357" si="528">SUM(F357:H357)</f>
        <v>13.649999999998727</v>
      </c>
    </row>
    <row r="358" spans="1:9" x14ac:dyDescent="0.25">
      <c r="A358" s="3">
        <v>45883</v>
      </c>
      <c r="B358" s="4">
        <v>8155.46</v>
      </c>
      <c r="C358" s="41">
        <v>11014.7</v>
      </c>
      <c r="D358" s="4">
        <v>6406.03</v>
      </c>
      <c r="E358" s="6">
        <f t="shared" si="503"/>
        <v>25576.19</v>
      </c>
      <c r="F358" s="4">
        <f t="shared" ref="F358" si="529">B358-B357</f>
        <v>4.4800000000004729</v>
      </c>
      <c r="G358" s="4">
        <f t="shared" ref="G358" si="530">C358-C357</f>
        <v>6.0200000000004366</v>
      </c>
      <c r="H358" s="4">
        <f t="shared" ref="H358" si="531">D358-D357</f>
        <v>3.1700000000000728</v>
      </c>
      <c r="I358" s="4">
        <f t="shared" ref="I358" si="532">SUM(F358:H358)</f>
        <v>13.670000000000982</v>
      </c>
    </row>
    <row r="359" spans="1:9" x14ac:dyDescent="0.25">
      <c r="A359" s="3">
        <v>45884</v>
      </c>
      <c r="B359" s="4">
        <v>8159.96</v>
      </c>
      <c r="C359" s="41">
        <v>11020.72</v>
      </c>
      <c r="D359" s="4">
        <v>6409.21</v>
      </c>
      <c r="E359" s="6">
        <f t="shared" ref="E359" si="533">SUM(B359:D359)</f>
        <v>25589.89</v>
      </c>
      <c r="F359" s="4">
        <f t="shared" ref="F359" si="534">B359-B358</f>
        <v>4.5</v>
      </c>
      <c r="G359" s="4">
        <f t="shared" ref="G359" si="535">C359-C358</f>
        <v>6.0199999999986176</v>
      </c>
      <c r="H359" s="4">
        <f t="shared" ref="H359" si="536">D359-D358</f>
        <v>3.180000000000291</v>
      </c>
      <c r="I359" s="4">
        <f t="shared" ref="I359:I362" si="537">SUM(F359:H359)</f>
        <v>13.699999999998909</v>
      </c>
    </row>
    <row r="360" spans="1:9" x14ac:dyDescent="0.25">
      <c r="A360" s="49">
        <v>45885</v>
      </c>
      <c r="B360" s="38">
        <v>8159.96</v>
      </c>
      <c r="C360" s="50">
        <v>11020.72</v>
      </c>
      <c r="D360" s="38">
        <v>6409.21</v>
      </c>
      <c r="E360" s="51">
        <f t="shared" ref="E360:E364" si="538">SUM(B360:D360)</f>
        <v>25589.89</v>
      </c>
      <c r="F360" s="38">
        <f t="shared" ref="F360:F361" si="539">B360-B359</f>
        <v>0</v>
      </c>
      <c r="G360" s="38">
        <f t="shared" ref="G360:G361" si="540">C360-C359</f>
        <v>0</v>
      </c>
      <c r="H360" s="38">
        <f t="shared" ref="H360:H361" si="541">D360-D359</f>
        <v>0</v>
      </c>
      <c r="I360" s="38"/>
    </row>
    <row r="361" spans="1:9" x14ac:dyDescent="0.25">
      <c r="A361" s="49">
        <v>45886</v>
      </c>
      <c r="B361" s="38">
        <v>8159.96</v>
      </c>
      <c r="C361" s="50">
        <v>11020.72</v>
      </c>
      <c r="D361" s="38">
        <v>6409.21</v>
      </c>
      <c r="E361" s="51">
        <f t="shared" si="538"/>
        <v>25589.89</v>
      </c>
      <c r="F361" s="38">
        <f t="shared" si="539"/>
        <v>0</v>
      </c>
      <c r="G361" s="38">
        <f t="shared" si="540"/>
        <v>0</v>
      </c>
      <c r="H361" s="38">
        <f t="shared" si="541"/>
        <v>0</v>
      </c>
      <c r="I361" s="38"/>
    </row>
    <row r="362" spans="1:9" x14ac:dyDescent="0.25">
      <c r="A362" s="3">
        <v>45887</v>
      </c>
      <c r="B362" s="4">
        <v>8164.43</v>
      </c>
      <c r="C362" s="41">
        <v>11026.74</v>
      </c>
      <c r="D362" s="4">
        <v>6412.39</v>
      </c>
      <c r="E362" s="6">
        <f t="shared" si="538"/>
        <v>25603.559999999998</v>
      </c>
      <c r="F362" s="4">
        <f t="shared" ref="F362" si="542">B362-B361</f>
        <v>4.4700000000002547</v>
      </c>
      <c r="G362" s="4">
        <f t="shared" ref="G362" si="543">C362-C361</f>
        <v>6.0200000000004366</v>
      </c>
      <c r="H362" s="4">
        <f t="shared" ref="H362" si="544">D362-D361</f>
        <v>3.180000000000291</v>
      </c>
      <c r="I362" s="4">
        <f t="shared" si="537"/>
        <v>13.670000000000982</v>
      </c>
    </row>
    <row r="363" spans="1:9" x14ac:dyDescent="0.25">
      <c r="A363" s="3">
        <v>45888</v>
      </c>
      <c r="B363" s="4">
        <v>8168.94</v>
      </c>
      <c r="C363" s="41">
        <v>11032.74</v>
      </c>
      <c r="D363" s="4">
        <v>6415.57</v>
      </c>
      <c r="E363" s="6">
        <f t="shared" si="538"/>
        <v>25617.25</v>
      </c>
      <c r="F363" s="4">
        <f t="shared" ref="F363" si="545">B363-B362</f>
        <v>4.5099999999993088</v>
      </c>
      <c r="G363" s="4">
        <f t="shared" ref="G363" si="546">C363-C362</f>
        <v>6</v>
      </c>
      <c r="H363" s="4">
        <f t="shared" ref="H363" si="547">D363-D362</f>
        <v>3.1799999999993815</v>
      </c>
      <c r="I363" s="4">
        <f t="shared" ref="I363" si="548">SUM(F363:H363)</f>
        <v>13.68999999999869</v>
      </c>
    </row>
    <row r="364" spans="1:9" x14ac:dyDescent="0.25">
      <c r="A364" s="3">
        <v>45889</v>
      </c>
      <c r="B364" s="4">
        <v>8173.43</v>
      </c>
      <c r="C364" s="41">
        <v>11038.77</v>
      </c>
      <c r="D364" s="4">
        <v>6418.75</v>
      </c>
      <c r="E364" s="6">
        <f t="shared" si="538"/>
        <v>25630.95</v>
      </c>
      <c r="F364" s="4">
        <f t="shared" ref="F364" si="549">B364-B363</f>
        <v>4.4900000000006912</v>
      </c>
      <c r="G364" s="4">
        <f t="shared" ref="G364" si="550">C364-C363</f>
        <v>6.0300000000006548</v>
      </c>
      <c r="H364" s="4">
        <f t="shared" ref="H364" si="551">D364-D363</f>
        <v>3.180000000000291</v>
      </c>
      <c r="I364" s="4">
        <f t="shared" ref="I364" si="552">SUM(F364:H364)</f>
        <v>13.700000000001637</v>
      </c>
    </row>
    <row r="365" spans="1:9" x14ac:dyDescent="0.25">
      <c r="A365" s="3">
        <v>45890</v>
      </c>
      <c r="B365" s="4">
        <v>8177.95</v>
      </c>
      <c r="C365" s="41">
        <v>11044.8</v>
      </c>
      <c r="D365" s="4">
        <v>6421.95</v>
      </c>
      <c r="E365" s="6">
        <f t="shared" ref="E365" si="553">SUM(B365:D365)</f>
        <v>25644.7</v>
      </c>
      <c r="F365" s="4">
        <f t="shared" ref="F365" si="554">B365-B364</f>
        <v>4.5199999999995271</v>
      </c>
      <c r="G365" s="4">
        <f t="shared" ref="G365" si="555">C365-C364</f>
        <v>6.0299999999988358</v>
      </c>
      <c r="H365" s="4">
        <f t="shared" ref="H365" si="556">D365-D364</f>
        <v>3.1999999999998181</v>
      </c>
      <c r="I365" s="4">
        <f t="shared" ref="I365" si="557">SUM(F365:H365)</f>
        <v>13.749999999998181</v>
      </c>
    </row>
    <row r="366" spans="1:9" x14ac:dyDescent="0.25">
      <c r="A366" s="3">
        <v>45891</v>
      </c>
      <c r="B366" s="4">
        <v>8182.44</v>
      </c>
      <c r="C366" s="41">
        <v>11050.83</v>
      </c>
      <c r="D366" s="4">
        <v>6425.12</v>
      </c>
      <c r="E366" s="6">
        <f t="shared" ref="E366" si="558">SUM(B366:D366)</f>
        <v>25658.39</v>
      </c>
      <c r="F366" s="4">
        <f t="shared" ref="F366" si="559">B366-B365</f>
        <v>4.4899999999997817</v>
      </c>
      <c r="G366" s="4">
        <f t="shared" ref="G366" si="560">C366-C365</f>
        <v>6.0300000000006548</v>
      </c>
      <c r="H366" s="4">
        <f t="shared" ref="H366" si="561">D366-D365</f>
        <v>3.1700000000000728</v>
      </c>
      <c r="I366" s="4">
        <f t="shared" ref="I366:I369" si="562">SUM(F366:H366)</f>
        <v>13.690000000000509</v>
      </c>
    </row>
    <row r="367" spans="1:9" x14ac:dyDescent="0.25">
      <c r="A367" s="49">
        <v>45892</v>
      </c>
      <c r="B367" s="38">
        <v>8182.44</v>
      </c>
      <c r="C367" s="50">
        <v>11050.83</v>
      </c>
      <c r="D367" s="38">
        <v>6425.12</v>
      </c>
      <c r="E367" s="51">
        <f t="shared" ref="E367:E368" si="563">SUM(B367:D367)</f>
        <v>25658.39</v>
      </c>
      <c r="F367" s="38">
        <f t="shared" ref="F367:F368" si="564">B367-B366</f>
        <v>0</v>
      </c>
      <c r="G367" s="38">
        <f t="shared" ref="G367:G368" si="565">C367-C366</f>
        <v>0</v>
      </c>
      <c r="H367" s="38">
        <f t="shared" ref="H367:H368" si="566">D367-D366</f>
        <v>0</v>
      </c>
      <c r="I367" s="38"/>
    </row>
    <row r="368" spans="1:9" x14ac:dyDescent="0.25">
      <c r="A368" s="49">
        <v>45893</v>
      </c>
      <c r="B368" s="38">
        <v>8182.44</v>
      </c>
      <c r="C368" s="50">
        <v>11050.83</v>
      </c>
      <c r="D368" s="38">
        <v>6425.12</v>
      </c>
      <c r="E368" s="51">
        <f t="shared" si="563"/>
        <v>25658.39</v>
      </c>
      <c r="F368" s="38">
        <f t="shared" si="564"/>
        <v>0</v>
      </c>
      <c r="G368" s="38">
        <f t="shared" si="565"/>
        <v>0</v>
      </c>
      <c r="H368" s="38">
        <f t="shared" si="566"/>
        <v>0</v>
      </c>
      <c r="I368" s="38"/>
    </row>
    <row r="369" spans="1:10" x14ac:dyDescent="0.25">
      <c r="A369" s="3">
        <v>45894</v>
      </c>
      <c r="B369" s="4">
        <v>8186.94</v>
      </c>
      <c r="C369" s="41">
        <v>11056.86</v>
      </c>
      <c r="D369" s="4">
        <v>6428.32</v>
      </c>
      <c r="E369" s="6">
        <f t="shared" ref="E369" si="567">SUM(B369:D369)</f>
        <v>25672.12</v>
      </c>
      <c r="F369" s="4">
        <f t="shared" ref="F369" si="568">B369-B368</f>
        <v>4.5</v>
      </c>
      <c r="G369" s="4">
        <f t="shared" ref="G369" si="569">C369-C368</f>
        <v>6.0300000000006548</v>
      </c>
      <c r="H369" s="4">
        <f t="shared" ref="H369" si="570">D369-D368</f>
        <v>3.1999999999998181</v>
      </c>
      <c r="I369" s="4">
        <f t="shared" si="562"/>
        <v>13.730000000000473</v>
      </c>
    </row>
    <row r="370" spans="1:10" x14ac:dyDescent="0.25">
      <c r="A370" s="3">
        <v>45895</v>
      </c>
      <c r="B370" s="4">
        <v>8191.44</v>
      </c>
      <c r="C370" s="41">
        <v>11062.89</v>
      </c>
      <c r="D370" s="4">
        <v>6431.49</v>
      </c>
      <c r="E370" s="6">
        <f t="shared" ref="E370" si="571">SUM(B370:D370)</f>
        <v>25685.82</v>
      </c>
      <c r="F370" s="4">
        <f t="shared" ref="F370" si="572">B370-B369</f>
        <v>4.5</v>
      </c>
      <c r="G370" s="4">
        <f t="shared" ref="G370" si="573">C370-C369</f>
        <v>6.0299999999988358</v>
      </c>
      <c r="H370" s="4">
        <f t="shared" ref="H370" si="574">D370-D369</f>
        <v>3.1700000000000728</v>
      </c>
      <c r="I370" s="4">
        <f t="shared" ref="I370" si="575">SUM(F370:H370)</f>
        <v>13.699999999998909</v>
      </c>
    </row>
    <row r="371" spans="1:10" x14ac:dyDescent="0.25">
      <c r="A371" s="3">
        <v>45896</v>
      </c>
      <c r="B371" s="4">
        <v>8195.9699999999993</v>
      </c>
      <c r="C371" s="41">
        <v>11068.94</v>
      </c>
      <c r="D371" s="4">
        <v>6434.69</v>
      </c>
      <c r="E371" s="6">
        <f t="shared" ref="E371" si="576">SUM(B371:D371)</f>
        <v>25699.599999999999</v>
      </c>
      <c r="F371" s="4">
        <f t="shared" ref="F371" si="577">B371-B370</f>
        <v>4.5299999999997453</v>
      </c>
      <c r="G371" s="4">
        <f t="shared" ref="G371" si="578">C371-C370</f>
        <v>6.0500000000010914</v>
      </c>
      <c r="H371" s="4">
        <f t="shared" ref="H371" si="579">D371-D370</f>
        <v>3.1999999999998181</v>
      </c>
      <c r="I371" s="4">
        <f t="shared" ref="I371" si="580">SUM(F371:H371)</f>
        <v>13.780000000000655</v>
      </c>
    </row>
    <row r="372" spans="1:10" x14ac:dyDescent="0.25">
      <c r="A372" s="3">
        <v>45897</v>
      </c>
      <c r="B372" s="4">
        <v>8200.4699999999993</v>
      </c>
      <c r="C372" s="41">
        <v>11074.97</v>
      </c>
      <c r="D372" s="4">
        <v>6437.88</v>
      </c>
      <c r="E372" s="6">
        <f t="shared" ref="E372" si="581">SUM(B372:D372)</f>
        <v>25713.32</v>
      </c>
      <c r="F372" s="4">
        <f t="shared" ref="F372" si="582">B372-B371</f>
        <v>4.5</v>
      </c>
      <c r="G372" s="4">
        <f t="shared" ref="G372" si="583">C372-C371</f>
        <v>6.0299999999988358</v>
      </c>
      <c r="H372" s="4">
        <f t="shared" ref="H372" si="584">D372-D371</f>
        <v>3.1900000000005093</v>
      </c>
      <c r="I372" s="4">
        <f t="shared" ref="I372" si="585">SUM(F372:H372)</f>
        <v>13.719999999999345</v>
      </c>
    </row>
    <row r="373" spans="1:10" x14ac:dyDescent="0.25">
      <c r="A373" s="3">
        <v>45898</v>
      </c>
      <c r="B373" s="4">
        <v>8204.98</v>
      </c>
      <c r="C373" s="41">
        <v>11081.02</v>
      </c>
      <c r="D373" s="4">
        <v>6441.08</v>
      </c>
      <c r="E373" s="6">
        <f t="shared" ref="E373" si="586">SUM(B373:D373)</f>
        <v>25727.08</v>
      </c>
      <c r="F373" s="4">
        <f t="shared" ref="F373" si="587">B373-B372</f>
        <v>4.5100000000002183</v>
      </c>
      <c r="G373" s="4">
        <f t="shared" ref="G373" si="588">C373-C372</f>
        <v>6.0500000000010914</v>
      </c>
      <c r="H373" s="4">
        <f t="shared" ref="H373" si="589">D373-D372</f>
        <v>3.1999999999998181</v>
      </c>
      <c r="I373" s="4">
        <f t="shared" ref="I373" si="590">SUM(F373:H373)</f>
        <v>13.760000000001128</v>
      </c>
    </row>
    <row r="374" spans="1:10" x14ac:dyDescent="0.25">
      <c r="A374" s="49">
        <v>45899</v>
      </c>
      <c r="B374" s="38">
        <v>8204.98</v>
      </c>
      <c r="C374" s="50">
        <v>11081.02</v>
      </c>
      <c r="D374" s="38">
        <v>6441.08</v>
      </c>
      <c r="E374" s="51">
        <f t="shared" ref="E374:E375" si="591">SUM(B374:D374)</f>
        <v>25727.08</v>
      </c>
      <c r="F374" s="38">
        <f t="shared" ref="F374:F375" si="592">B374-B373</f>
        <v>0</v>
      </c>
      <c r="G374" s="38">
        <f t="shared" ref="G374:G375" si="593">C374-C373</f>
        <v>0</v>
      </c>
      <c r="H374" s="38">
        <f t="shared" ref="H374:H375" si="594">D374-D373</f>
        <v>0</v>
      </c>
      <c r="I374" s="38"/>
    </row>
    <row r="375" spans="1:10" x14ac:dyDescent="0.25">
      <c r="A375" s="49">
        <v>45900</v>
      </c>
      <c r="B375" s="38">
        <v>8204.98</v>
      </c>
      <c r="C375" s="50">
        <v>11081.02</v>
      </c>
      <c r="D375" s="38">
        <v>6441.08</v>
      </c>
      <c r="E375" s="51">
        <f t="shared" si="591"/>
        <v>25727.08</v>
      </c>
      <c r="F375" s="38">
        <f t="shared" si="592"/>
        <v>0</v>
      </c>
      <c r="G375" s="38">
        <f t="shared" si="593"/>
        <v>0</v>
      </c>
      <c r="H375" s="38">
        <f t="shared" si="594"/>
        <v>0</v>
      </c>
      <c r="I375" s="38"/>
    </row>
    <row r="376" spans="1:10" x14ac:dyDescent="0.25">
      <c r="A376" s="5" t="s">
        <v>6</v>
      </c>
      <c r="B376" s="5"/>
      <c r="C376" s="5"/>
      <c r="D376" s="5"/>
      <c r="E376" s="5"/>
      <c r="F376" s="6">
        <f>SUM(F345:F375)</f>
        <v>94.279999999999745</v>
      </c>
      <c r="G376" s="6">
        <f t="shared" ref="G376:H376" si="595">SUM(G345:G375)</f>
        <v>126.25</v>
      </c>
      <c r="H376" s="6">
        <f t="shared" si="595"/>
        <v>66.75</v>
      </c>
      <c r="I376" s="6">
        <f>SUM(I345:I375)</f>
        <v>287.27999999999975</v>
      </c>
    </row>
    <row r="377" spans="1:10" x14ac:dyDescent="0.25">
      <c r="F377" s="53">
        <f t="shared" ref="F377:H377" si="596">(F376/B345)</f>
        <v>1.1617733679351504E-2</v>
      </c>
      <c r="G377" s="53">
        <f t="shared" si="596"/>
        <v>1.1518372374153228E-2</v>
      </c>
      <c r="H377" s="53">
        <f t="shared" si="596"/>
        <v>1.0466500143473374E-2</v>
      </c>
      <c r="I377" s="53">
        <f>(I376/E345)</f>
        <v>1.1286499024492573E-2</v>
      </c>
    </row>
    <row r="379" spans="1:10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 t="s">
        <v>19</v>
      </c>
    </row>
    <row r="380" spans="1:10" x14ac:dyDescent="0.25">
      <c r="A380" s="3">
        <v>45901</v>
      </c>
      <c r="B380" s="4">
        <v>8209.5</v>
      </c>
      <c r="C380" s="4">
        <v>11087.07</v>
      </c>
      <c r="D380" s="4">
        <v>6444.2849999999999</v>
      </c>
      <c r="E380" s="6">
        <f t="shared" ref="E380:E384" si="597">SUM(B380:D380)</f>
        <v>25740.855</v>
      </c>
      <c r="F380" s="4">
        <f>B380-B375</f>
        <v>4.5200000000004366</v>
      </c>
      <c r="G380" s="4">
        <f t="shared" ref="G380:H380" si="598">C380-C375</f>
        <v>6.0499999999992724</v>
      </c>
      <c r="H380" s="4">
        <f t="shared" si="598"/>
        <v>3.2049999999999272</v>
      </c>
      <c r="I380" s="4">
        <f t="shared" ref="I380:I384" si="599">SUM(F380:H380)</f>
        <v>13.774999999999636</v>
      </c>
      <c r="J380" s="26">
        <f>AVERAGE(I380:I409)</f>
        <v>13.839545454545508</v>
      </c>
    </row>
    <row r="381" spans="1:10" x14ac:dyDescent="0.25">
      <c r="A381" s="3">
        <v>45902</v>
      </c>
      <c r="B381" s="4">
        <v>8214.02</v>
      </c>
      <c r="C381" s="41">
        <v>11093.12</v>
      </c>
      <c r="D381" s="4">
        <v>6447.49</v>
      </c>
      <c r="E381" s="6">
        <f t="shared" si="597"/>
        <v>25754.629999999997</v>
      </c>
      <c r="F381" s="4">
        <f t="shared" ref="F381:F387" si="600">B381-B380</f>
        <v>4.5200000000004366</v>
      </c>
      <c r="G381" s="4">
        <f t="shared" ref="G381:H381" si="601">C381-C380</f>
        <v>6.0500000000010914</v>
      </c>
      <c r="H381" s="4">
        <f t="shared" si="601"/>
        <v>3.2049999999999272</v>
      </c>
      <c r="I381" s="4">
        <f t="shared" si="599"/>
        <v>13.775000000001455</v>
      </c>
    </row>
    <row r="382" spans="1:10" x14ac:dyDescent="0.25">
      <c r="A382" s="3">
        <v>45903</v>
      </c>
      <c r="B382" s="4">
        <v>8218.5300000000007</v>
      </c>
      <c r="C382" s="41">
        <v>11099.16</v>
      </c>
      <c r="D382" s="4">
        <v>6450.68</v>
      </c>
      <c r="E382" s="6">
        <f t="shared" si="597"/>
        <v>25768.370000000003</v>
      </c>
      <c r="F382" s="4">
        <f t="shared" si="600"/>
        <v>4.5100000000002183</v>
      </c>
      <c r="G382" s="4">
        <f t="shared" ref="G382" si="602">C382-C381</f>
        <v>6.0399999999990541</v>
      </c>
      <c r="H382" s="4">
        <f t="shared" ref="H382" si="603">D382-D381</f>
        <v>3.1900000000005093</v>
      </c>
      <c r="I382" s="4">
        <f t="shared" si="599"/>
        <v>13.739999999999782</v>
      </c>
    </row>
    <row r="383" spans="1:10" x14ac:dyDescent="0.25">
      <c r="A383" s="3">
        <v>45904</v>
      </c>
      <c r="B383" s="4">
        <v>8223.07</v>
      </c>
      <c r="C383" s="41">
        <v>11105.22</v>
      </c>
      <c r="D383" s="4">
        <v>6453.87</v>
      </c>
      <c r="E383" s="6">
        <f t="shared" si="597"/>
        <v>25782.16</v>
      </c>
      <c r="F383" s="4">
        <f t="shared" si="600"/>
        <v>4.5399999999990541</v>
      </c>
      <c r="G383" s="4">
        <f t="shared" ref="G383" si="604">C383-C382</f>
        <v>6.0599999999994907</v>
      </c>
      <c r="H383" s="4">
        <f t="shared" ref="H383" si="605">D383-D382</f>
        <v>3.1899999999995998</v>
      </c>
      <c r="I383" s="4">
        <f t="shared" si="599"/>
        <v>13.789999999998145</v>
      </c>
    </row>
    <row r="384" spans="1:10" x14ac:dyDescent="0.25">
      <c r="A384" s="3">
        <v>45905</v>
      </c>
      <c r="B384" s="4">
        <v>8227.59</v>
      </c>
      <c r="C384" s="41">
        <v>11111.28</v>
      </c>
      <c r="D384" s="4">
        <v>6457.08</v>
      </c>
      <c r="E384" s="6">
        <f t="shared" si="597"/>
        <v>25795.950000000004</v>
      </c>
      <c r="F384" s="4">
        <f t="shared" si="600"/>
        <v>4.5200000000004366</v>
      </c>
      <c r="G384" s="4">
        <f t="shared" ref="G384" si="606">C384-C383</f>
        <v>6.0600000000013097</v>
      </c>
      <c r="H384" s="4">
        <f t="shared" ref="H384" si="607">D384-D383</f>
        <v>3.2100000000000364</v>
      </c>
      <c r="I384" s="4">
        <f t="shared" si="599"/>
        <v>13.790000000001783</v>
      </c>
    </row>
    <row r="385" spans="1:9" x14ac:dyDescent="0.25">
      <c r="A385" s="10">
        <v>45906</v>
      </c>
      <c r="B385" s="11">
        <v>8227.59</v>
      </c>
      <c r="C385" s="42">
        <v>11111.28</v>
      </c>
      <c r="D385" s="11">
        <v>6457.08</v>
      </c>
      <c r="E385" s="34">
        <f t="shared" ref="E385:E386" si="608">SUM(B385:D385)</f>
        <v>25795.950000000004</v>
      </c>
      <c r="F385" s="11">
        <f t="shared" si="600"/>
        <v>0</v>
      </c>
      <c r="G385" s="11">
        <f t="shared" ref="G385" si="609">C385-C384</f>
        <v>0</v>
      </c>
      <c r="H385" s="11">
        <f t="shared" ref="H385" si="610">D385-D384</f>
        <v>0</v>
      </c>
      <c r="I385" s="11"/>
    </row>
    <row r="386" spans="1:9" x14ac:dyDescent="0.25">
      <c r="A386" s="10">
        <v>45907</v>
      </c>
      <c r="B386" s="11">
        <v>8227.59</v>
      </c>
      <c r="C386" s="42">
        <v>11111.28</v>
      </c>
      <c r="D386" s="11">
        <v>6457.08</v>
      </c>
      <c r="E386" s="34">
        <f t="shared" si="608"/>
        <v>25795.950000000004</v>
      </c>
      <c r="F386" s="11">
        <f t="shared" si="600"/>
        <v>0</v>
      </c>
      <c r="G386" s="11">
        <f t="shared" ref="G386" si="611">C386-C385</f>
        <v>0</v>
      </c>
      <c r="H386" s="11">
        <f t="shared" ref="H386" si="612">D386-D385</f>
        <v>0</v>
      </c>
      <c r="I386" s="11"/>
    </row>
    <row r="387" spans="1:9" x14ac:dyDescent="0.25">
      <c r="A387" s="3">
        <v>45908</v>
      </c>
      <c r="B387" s="4">
        <v>8232.1299999999992</v>
      </c>
      <c r="C387" s="41">
        <v>11117.35</v>
      </c>
      <c r="D387" s="4">
        <v>6460.29</v>
      </c>
      <c r="E387" s="6">
        <f t="shared" ref="E387:E398" si="613">SUM(B387:D387)</f>
        <v>25809.77</v>
      </c>
      <c r="F387" s="4">
        <f t="shared" si="600"/>
        <v>4.5399999999990541</v>
      </c>
      <c r="G387" s="4">
        <f t="shared" ref="G387" si="614">C387-C386</f>
        <v>6.069999999999709</v>
      </c>
      <c r="H387" s="4">
        <f t="shared" ref="H387" si="615">D387-D386</f>
        <v>3.2100000000000364</v>
      </c>
      <c r="I387" s="4">
        <f t="shared" ref="I387" si="616">SUM(F387:H387)</f>
        <v>13.819999999998799</v>
      </c>
    </row>
    <row r="388" spans="1:9" x14ac:dyDescent="0.25">
      <c r="A388" s="3">
        <v>45909</v>
      </c>
      <c r="B388" s="4">
        <v>8236.64</v>
      </c>
      <c r="C388" s="41">
        <v>11123.42</v>
      </c>
      <c r="D388" s="4">
        <v>6463.5</v>
      </c>
      <c r="E388" s="6">
        <f t="shared" si="613"/>
        <v>25823.559999999998</v>
      </c>
      <c r="F388" s="4">
        <f t="shared" ref="F388" si="617">B388-B387</f>
        <v>4.5100000000002183</v>
      </c>
      <c r="G388" s="4">
        <f t="shared" ref="G388" si="618">C388-C387</f>
        <v>6.069999999999709</v>
      </c>
      <c r="H388" s="4">
        <f t="shared" ref="H388" si="619">D388-D387</f>
        <v>3.2100000000000364</v>
      </c>
      <c r="I388" s="4">
        <f t="shared" ref="I388" si="620">SUM(F388:H388)</f>
        <v>13.789999999999964</v>
      </c>
    </row>
    <row r="389" spans="1:9" x14ac:dyDescent="0.25">
      <c r="A389" s="3">
        <v>45910</v>
      </c>
      <c r="B389" s="4">
        <v>8241.2000000000007</v>
      </c>
      <c r="C389" s="41">
        <v>11129.48</v>
      </c>
      <c r="D389" s="4">
        <v>6466.69</v>
      </c>
      <c r="E389" s="6">
        <f t="shared" si="613"/>
        <v>25837.37</v>
      </c>
      <c r="F389" s="4">
        <f t="shared" ref="F389" si="621">B389-B388</f>
        <v>4.5600000000013097</v>
      </c>
      <c r="G389" s="4">
        <f t="shared" ref="G389" si="622">C389-C388</f>
        <v>6.0599999999994907</v>
      </c>
      <c r="H389" s="4">
        <f t="shared" ref="H389" si="623">D389-D388</f>
        <v>3.1899999999995998</v>
      </c>
      <c r="I389" s="4">
        <f t="shared" ref="I389" si="624">SUM(F389:H389)</f>
        <v>13.8100000000004</v>
      </c>
    </row>
    <row r="390" spans="1:9" x14ac:dyDescent="0.25">
      <c r="A390" s="3">
        <v>45911</v>
      </c>
      <c r="B390" s="4">
        <v>8245.7199999999993</v>
      </c>
      <c r="C390" s="41">
        <v>11135.56</v>
      </c>
      <c r="D390" s="4">
        <v>6469.9</v>
      </c>
      <c r="E390" s="6">
        <f t="shared" si="613"/>
        <v>25851.18</v>
      </c>
      <c r="F390" s="4">
        <f t="shared" ref="F390" si="625">B390-B389</f>
        <v>4.5199999999986176</v>
      </c>
      <c r="G390" s="4">
        <f t="shared" ref="G390" si="626">C390-C389</f>
        <v>6.0799999999999272</v>
      </c>
      <c r="H390" s="4">
        <f t="shared" ref="H390" si="627">D390-D389</f>
        <v>3.2100000000000364</v>
      </c>
      <c r="I390" s="4">
        <f t="shared" ref="I390" si="628">SUM(F390:H390)</f>
        <v>13.809999999998581</v>
      </c>
    </row>
    <row r="391" spans="1:9" x14ac:dyDescent="0.25">
      <c r="A391" s="3">
        <v>45912</v>
      </c>
      <c r="B391" s="4">
        <v>8250.2599999999984</v>
      </c>
      <c r="C391" s="4">
        <v>11141.645</v>
      </c>
      <c r="D391" s="4">
        <v>6473.1149999999998</v>
      </c>
      <c r="E391" s="6">
        <f t="shared" si="613"/>
        <v>25865.019999999997</v>
      </c>
      <c r="F391" s="4">
        <f t="shared" ref="F391:F392" si="629">B391-B390</f>
        <v>4.5399999999990541</v>
      </c>
      <c r="G391" s="4">
        <f t="shared" ref="G391:G392" si="630">C391-C390</f>
        <v>6.0850000000009459</v>
      </c>
      <c r="H391" s="4">
        <f t="shared" ref="H391:H392" si="631">D391-D390</f>
        <v>3.2150000000001455</v>
      </c>
      <c r="I391" s="4">
        <f t="shared" ref="I391" si="632">SUM(F391:H391)</f>
        <v>13.840000000000146</v>
      </c>
    </row>
    <row r="392" spans="1:9" x14ac:dyDescent="0.25">
      <c r="A392" s="10">
        <v>45913</v>
      </c>
      <c r="B392" s="11">
        <v>8250.2599999999984</v>
      </c>
      <c r="C392" s="11">
        <v>11141.645</v>
      </c>
      <c r="D392" s="11">
        <v>6473.1149999999998</v>
      </c>
      <c r="E392" s="34">
        <f t="shared" si="613"/>
        <v>25865.019999999997</v>
      </c>
      <c r="F392" s="11">
        <f t="shared" si="629"/>
        <v>0</v>
      </c>
      <c r="G392" s="11">
        <f t="shared" si="630"/>
        <v>0</v>
      </c>
      <c r="H392" s="11">
        <f t="shared" si="631"/>
        <v>0</v>
      </c>
      <c r="I392" s="11"/>
    </row>
    <row r="393" spans="1:9" x14ac:dyDescent="0.25">
      <c r="A393" s="10">
        <v>45914</v>
      </c>
      <c r="B393" s="11">
        <v>8250.2599999999984</v>
      </c>
      <c r="C393" s="11">
        <v>11141.645</v>
      </c>
      <c r="D393" s="11">
        <v>6473.1149999999998</v>
      </c>
      <c r="E393" s="34">
        <f t="shared" si="613"/>
        <v>25865.019999999997</v>
      </c>
      <c r="F393" s="11">
        <f t="shared" ref="F393:F394" si="633">B393-B392</f>
        <v>0</v>
      </c>
      <c r="G393" s="11">
        <f t="shared" ref="G393:G394" si="634">C393-C392</f>
        <v>0</v>
      </c>
      <c r="H393" s="11">
        <f t="shared" ref="H393:H394" si="635">D393-D392</f>
        <v>0</v>
      </c>
      <c r="I393" s="11"/>
    </row>
    <row r="394" spans="1:9" x14ac:dyDescent="0.25">
      <c r="A394" s="3">
        <v>45915</v>
      </c>
      <c r="B394" s="4">
        <v>8254.7999999999993</v>
      </c>
      <c r="C394" s="41">
        <v>11147.73</v>
      </c>
      <c r="D394" s="4">
        <v>6476.33</v>
      </c>
      <c r="E394" s="6">
        <f t="shared" si="613"/>
        <v>25878.86</v>
      </c>
      <c r="F394" s="4">
        <f t="shared" si="633"/>
        <v>4.5400000000008731</v>
      </c>
      <c r="G394" s="4">
        <f t="shared" si="634"/>
        <v>6.0849999999991269</v>
      </c>
      <c r="H394" s="4">
        <f t="shared" si="635"/>
        <v>3.2150000000001455</v>
      </c>
      <c r="I394" s="4">
        <f t="shared" ref="I394" si="636">SUM(F394:H394)</f>
        <v>13.840000000000146</v>
      </c>
    </row>
    <row r="395" spans="1:9" x14ac:dyDescent="0.25">
      <c r="A395" s="3">
        <v>45916</v>
      </c>
      <c r="B395" s="4">
        <v>8259.3700000000008</v>
      </c>
      <c r="C395" s="41">
        <v>11153.8</v>
      </c>
      <c r="D395" s="4">
        <v>6479.55</v>
      </c>
      <c r="E395" s="6">
        <f t="shared" si="613"/>
        <v>25892.719999999998</v>
      </c>
      <c r="F395" s="4">
        <f t="shared" ref="F395" si="637">B395-B394</f>
        <v>4.570000000001528</v>
      </c>
      <c r="G395" s="4">
        <f t="shared" ref="G395" si="638">C395-C394</f>
        <v>6.069999999999709</v>
      </c>
      <c r="H395" s="4">
        <f t="shared" ref="H395" si="639">D395-D394</f>
        <v>3.2200000000002547</v>
      </c>
      <c r="I395" s="4">
        <f t="shared" ref="I395" si="640">SUM(F395:H395)</f>
        <v>13.860000000001492</v>
      </c>
    </row>
    <row r="396" spans="1:9" x14ac:dyDescent="0.25">
      <c r="A396" s="3">
        <v>45917</v>
      </c>
      <c r="B396" s="4">
        <v>8263.9</v>
      </c>
      <c r="C396" s="41">
        <v>11159.89</v>
      </c>
      <c r="D396" s="4">
        <v>6482.77</v>
      </c>
      <c r="E396" s="6">
        <f t="shared" si="613"/>
        <v>25906.560000000001</v>
      </c>
      <c r="F396" s="4">
        <f t="shared" ref="F396" si="641">B396-B395</f>
        <v>4.5299999999988358</v>
      </c>
      <c r="G396" s="4">
        <f t="shared" ref="G396" si="642">C396-C395</f>
        <v>6.0900000000001455</v>
      </c>
      <c r="H396" s="4">
        <f t="shared" ref="H396" si="643">D396-D395</f>
        <v>3.2200000000002547</v>
      </c>
      <c r="I396" s="4">
        <f t="shared" ref="I396" si="644">SUM(F396:H396)</f>
        <v>13.839999999999236</v>
      </c>
    </row>
    <row r="397" spans="1:9" x14ac:dyDescent="0.25">
      <c r="A397" s="3">
        <v>45918</v>
      </c>
      <c r="B397" s="4">
        <v>8268.44</v>
      </c>
      <c r="C397" s="41">
        <v>11165.98</v>
      </c>
      <c r="D397" s="4">
        <v>6485.97</v>
      </c>
      <c r="E397" s="6">
        <f t="shared" si="613"/>
        <v>25920.39</v>
      </c>
      <c r="F397" s="4">
        <f t="shared" ref="F397" si="645">B397-B396</f>
        <v>4.5400000000008731</v>
      </c>
      <c r="G397" s="4">
        <f t="shared" ref="G397" si="646">C397-C396</f>
        <v>6.0900000000001455</v>
      </c>
      <c r="H397" s="4">
        <f t="shared" ref="H397" si="647">D397-D396</f>
        <v>3.1999999999998181</v>
      </c>
      <c r="I397" s="4">
        <f t="shared" ref="I397" si="648">SUM(F397:H397)</f>
        <v>13.830000000000837</v>
      </c>
    </row>
    <row r="398" spans="1:9" x14ac:dyDescent="0.25">
      <c r="A398" s="3">
        <v>45919</v>
      </c>
      <c r="B398" s="4">
        <v>8273</v>
      </c>
      <c r="C398" s="41">
        <v>11172.08</v>
      </c>
      <c r="D398" s="4">
        <v>6489.18</v>
      </c>
      <c r="E398" s="6">
        <f t="shared" si="613"/>
        <v>25934.260000000002</v>
      </c>
      <c r="F398" s="4">
        <f t="shared" ref="F398" si="649">B398-B397</f>
        <v>4.5599999999994907</v>
      </c>
      <c r="G398" s="4">
        <f t="shared" ref="G398" si="650">C398-C397</f>
        <v>6.1000000000003638</v>
      </c>
      <c r="H398" s="4">
        <f t="shared" ref="H398" si="651">D398-D397</f>
        <v>3.2100000000000364</v>
      </c>
      <c r="I398" s="4">
        <f t="shared" ref="I398" si="652">SUM(F398:H398)</f>
        <v>13.869999999999891</v>
      </c>
    </row>
    <row r="399" spans="1:9" x14ac:dyDescent="0.25">
      <c r="A399" s="10">
        <v>45920</v>
      </c>
      <c r="B399" s="11">
        <v>8273</v>
      </c>
      <c r="C399" s="42">
        <v>11172.08</v>
      </c>
      <c r="D399" s="11">
        <v>6489.18</v>
      </c>
      <c r="E399" s="34">
        <f t="shared" ref="E399:E400" si="653">SUM(B399:D399)</f>
        <v>25934.260000000002</v>
      </c>
      <c r="F399" s="11">
        <f t="shared" ref="F399:F400" si="654">B399-B398</f>
        <v>0</v>
      </c>
      <c r="G399" s="11">
        <f t="shared" ref="G399:G400" si="655">C399-C398</f>
        <v>0</v>
      </c>
      <c r="H399" s="11">
        <f t="shared" ref="H399:H400" si="656">D399-D398</f>
        <v>0</v>
      </c>
      <c r="I399" s="59"/>
    </row>
    <row r="400" spans="1:9" x14ac:dyDescent="0.25">
      <c r="A400" s="10">
        <v>45921</v>
      </c>
      <c r="B400" s="11">
        <v>8273</v>
      </c>
      <c r="C400" s="42">
        <v>11172.08</v>
      </c>
      <c r="D400" s="11">
        <v>6489.18</v>
      </c>
      <c r="E400" s="34">
        <f t="shared" si="653"/>
        <v>25934.260000000002</v>
      </c>
      <c r="F400" s="11">
        <f t="shared" si="654"/>
        <v>0</v>
      </c>
      <c r="G400" s="11">
        <f t="shared" si="655"/>
        <v>0</v>
      </c>
      <c r="H400" s="11">
        <f t="shared" si="656"/>
        <v>0</v>
      </c>
      <c r="I400" s="59"/>
    </row>
    <row r="401" spans="1:10" x14ac:dyDescent="0.25">
      <c r="A401" s="3">
        <v>45922</v>
      </c>
      <c r="B401" s="4">
        <v>8277.57</v>
      </c>
      <c r="C401" s="41">
        <v>11178.18</v>
      </c>
      <c r="D401" s="4">
        <v>6492.4</v>
      </c>
      <c r="E401" s="6">
        <f t="shared" ref="E401" si="657">SUM(B401:D401)</f>
        <v>25948.15</v>
      </c>
      <c r="F401" s="4">
        <f t="shared" ref="F401" si="658">B401-B400</f>
        <v>4.569999999999709</v>
      </c>
      <c r="G401" s="4">
        <f t="shared" ref="G401" si="659">C401-C400</f>
        <v>6.1000000000003638</v>
      </c>
      <c r="H401" s="4">
        <f t="shared" ref="H401" si="660">D401-D400</f>
        <v>3.2199999999993452</v>
      </c>
      <c r="I401" s="4">
        <f>SUM(F401:H401)</f>
        <v>13.889999999999418</v>
      </c>
    </row>
    <row r="402" spans="1:10" x14ac:dyDescent="0.25">
      <c r="A402" s="3">
        <v>45923</v>
      </c>
      <c r="B402" s="4">
        <v>8282.1</v>
      </c>
      <c r="C402" s="41">
        <v>11184.28</v>
      </c>
      <c r="D402" s="4">
        <v>6495.62</v>
      </c>
      <c r="E402" s="6">
        <f t="shared" ref="E402" si="661">SUM(B402:D402)</f>
        <v>25962</v>
      </c>
      <c r="F402" s="4">
        <f t="shared" ref="F402" si="662">B402-B401</f>
        <v>4.5300000000006548</v>
      </c>
      <c r="G402" s="4">
        <f t="shared" ref="G402" si="663">C402-C401</f>
        <v>6.1000000000003638</v>
      </c>
      <c r="H402" s="4">
        <f t="shared" ref="H402" si="664">D402-D401</f>
        <v>3.2200000000002547</v>
      </c>
      <c r="I402" s="4">
        <f>SUM(F402:H402)</f>
        <v>13.850000000001273</v>
      </c>
    </row>
    <row r="403" spans="1:10" x14ac:dyDescent="0.25">
      <c r="A403" s="3">
        <v>45924</v>
      </c>
      <c r="B403" s="4">
        <v>8286.67</v>
      </c>
      <c r="C403" s="41">
        <v>11190.39</v>
      </c>
      <c r="D403" s="4">
        <v>6498.85</v>
      </c>
      <c r="E403" s="6">
        <f t="shared" ref="E403:E407" si="665">SUM(B403:D403)</f>
        <v>25975.909999999996</v>
      </c>
      <c r="F403" s="4">
        <f t="shared" ref="F403" si="666">B403-B402</f>
        <v>4.569999999999709</v>
      </c>
      <c r="G403" s="4">
        <f t="shared" ref="G403" si="667">C403-C402</f>
        <v>6.1099999999987631</v>
      </c>
      <c r="H403" s="4">
        <f t="shared" ref="H403" si="668">D403-D402</f>
        <v>3.2300000000004729</v>
      </c>
      <c r="I403" s="4">
        <f>SUM(F403:H403)</f>
        <v>13.909999999998945</v>
      </c>
    </row>
    <row r="404" spans="1:10" x14ac:dyDescent="0.25">
      <c r="A404" s="3">
        <v>45925</v>
      </c>
      <c r="B404" s="4">
        <v>8291.2199999999993</v>
      </c>
      <c r="C404" s="41">
        <v>11196.49</v>
      </c>
      <c r="D404" s="4">
        <v>6502.09</v>
      </c>
      <c r="E404" s="6">
        <f t="shared" si="665"/>
        <v>25989.8</v>
      </c>
      <c r="F404" s="4">
        <f t="shared" ref="F404" si="669">B404-B403</f>
        <v>4.5499999999992724</v>
      </c>
      <c r="G404" s="4">
        <f t="shared" ref="G404" si="670">C404-C403</f>
        <v>6.1000000000003638</v>
      </c>
      <c r="H404" s="4">
        <f t="shared" ref="H404" si="671">D404-D403</f>
        <v>3.2399999999997817</v>
      </c>
      <c r="I404" s="4">
        <f>SUM(F404:H404)</f>
        <v>13.889999999999418</v>
      </c>
    </row>
    <row r="405" spans="1:10" x14ac:dyDescent="0.25">
      <c r="A405" s="3">
        <v>45926</v>
      </c>
      <c r="B405" s="4">
        <v>8295.81</v>
      </c>
      <c r="C405" s="41">
        <v>11202.61</v>
      </c>
      <c r="D405" s="4">
        <v>6505.31</v>
      </c>
      <c r="E405" s="6">
        <f t="shared" si="665"/>
        <v>26003.73</v>
      </c>
      <c r="F405" s="4">
        <f t="shared" ref="F405" si="672">B405-B404</f>
        <v>4.5900000000001455</v>
      </c>
      <c r="G405" s="4">
        <f t="shared" ref="G405" si="673">C405-C404</f>
        <v>6.1200000000008004</v>
      </c>
      <c r="H405" s="4">
        <f t="shared" ref="H405" si="674">D405-D404</f>
        <v>3.2200000000002547</v>
      </c>
      <c r="I405" s="4">
        <f>SUM(F405:H405)</f>
        <v>13.930000000001201</v>
      </c>
    </row>
    <row r="406" spans="1:10" x14ac:dyDescent="0.25">
      <c r="A406" s="10">
        <v>45927</v>
      </c>
      <c r="B406" s="11">
        <v>8295.81</v>
      </c>
      <c r="C406" s="42">
        <v>11202.61</v>
      </c>
      <c r="D406" s="11">
        <v>6505.31</v>
      </c>
      <c r="E406" s="34">
        <f t="shared" si="665"/>
        <v>26003.73</v>
      </c>
      <c r="F406" s="11">
        <f t="shared" ref="F406:F407" si="675">B406-B405</f>
        <v>0</v>
      </c>
      <c r="G406" s="11">
        <f t="shared" ref="G406:G407" si="676">C406-C405</f>
        <v>0</v>
      </c>
      <c r="H406" s="11">
        <f t="shared" ref="H406:H407" si="677">D406-D405</f>
        <v>0</v>
      </c>
      <c r="I406" s="59"/>
    </row>
    <row r="407" spans="1:10" x14ac:dyDescent="0.25">
      <c r="A407" s="10">
        <v>45928</v>
      </c>
      <c r="B407" s="11">
        <v>8295.81</v>
      </c>
      <c r="C407" s="42">
        <v>11202.61</v>
      </c>
      <c r="D407" s="11">
        <v>6505.31</v>
      </c>
      <c r="E407" s="34">
        <f t="shared" si="665"/>
        <v>26003.73</v>
      </c>
      <c r="F407" s="11">
        <f t="shared" si="675"/>
        <v>0</v>
      </c>
      <c r="G407" s="11">
        <f t="shared" si="676"/>
        <v>0</v>
      </c>
      <c r="H407" s="11">
        <f t="shared" si="677"/>
        <v>0</v>
      </c>
      <c r="I407" s="59"/>
    </row>
    <row r="408" spans="1:10" x14ac:dyDescent="0.25">
      <c r="A408" s="3">
        <v>45929</v>
      </c>
      <c r="B408" s="4">
        <v>8300.36</v>
      </c>
      <c r="C408" s="41">
        <v>11208.71</v>
      </c>
      <c r="D408" s="4">
        <v>6508.53</v>
      </c>
      <c r="E408" s="6">
        <f t="shared" ref="E408:E409" si="678">SUM(B408:D408)</f>
        <v>26017.599999999999</v>
      </c>
      <c r="F408" s="4">
        <f t="shared" ref="F408" si="679">B408-B407</f>
        <v>4.5500000000010914</v>
      </c>
      <c r="G408" s="4">
        <f t="shared" ref="G408" si="680">C408-C407</f>
        <v>6.0999999999985448</v>
      </c>
      <c r="H408" s="4">
        <f t="shared" ref="H408" si="681">D408-D407</f>
        <v>3.2199999999993452</v>
      </c>
      <c r="I408" s="4">
        <f t="shared" ref="I408" si="682">SUM(F408:H408)</f>
        <v>13.869999999998981</v>
      </c>
    </row>
    <row r="409" spans="1:10" x14ac:dyDescent="0.25">
      <c r="A409" s="3">
        <v>45930</v>
      </c>
      <c r="B409" s="4">
        <v>8304.94</v>
      </c>
      <c r="C409" s="41">
        <v>11214.84</v>
      </c>
      <c r="D409" s="4">
        <v>6511.77</v>
      </c>
      <c r="E409" s="6">
        <f t="shared" si="678"/>
        <v>26031.55</v>
      </c>
      <c r="F409" s="4">
        <f t="shared" ref="F409" si="683">B409-B408</f>
        <v>4.5799999999999272</v>
      </c>
      <c r="G409" s="4">
        <f t="shared" ref="G409" si="684">C409-C408</f>
        <v>6.1300000000010186</v>
      </c>
      <c r="H409" s="4">
        <f t="shared" ref="H409" si="685">D409-D408</f>
        <v>3.2400000000006912</v>
      </c>
      <c r="I409" s="4">
        <f t="shared" ref="I409" si="686">SUM(F409:H409)</f>
        <v>13.950000000001637</v>
      </c>
    </row>
    <row r="410" spans="1:10" x14ac:dyDescent="0.25">
      <c r="A410" s="5" t="s">
        <v>6</v>
      </c>
      <c r="B410" s="5"/>
      <c r="C410" s="5"/>
      <c r="D410" s="5"/>
      <c r="E410" s="5"/>
      <c r="F410" s="6">
        <f>SUM(F380:F409)</f>
        <v>99.960000000000946</v>
      </c>
      <c r="G410" s="6">
        <f t="shared" ref="G410:I410" si="687">SUM(G380:G409)</f>
        <v>133.81999999999971</v>
      </c>
      <c r="H410" s="6">
        <f t="shared" si="687"/>
        <v>70.690000000000509</v>
      </c>
      <c r="I410" s="6">
        <f t="shared" si="687"/>
        <v>304.47000000000116</v>
      </c>
    </row>
    <row r="411" spans="1:10" x14ac:dyDescent="0.25">
      <c r="E411" s="1"/>
      <c r="F411" s="61">
        <f>(F410/B380)</f>
        <v>1.2176137401790724E-2</v>
      </c>
      <c r="G411" s="61">
        <f t="shared" ref="G411:I411" si="688">(G410/C380)</f>
        <v>1.2069915676549324E-2</v>
      </c>
      <c r="H411" s="61">
        <f t="shared" si="688"/>
        <v>1.0969409329351591E-2</v>
      </c>
      <c r="I411" s="61">
        <f t="shared" si="688"/>
        <v>1.1828278431310894E-2</v>
      </c>
    </row>
    <row r="413" spans="1:10" x14ac:dyDescent="0.25">
      <c r="A413" s="3">
        <v>45931</v>
      </c>
      <c r="B413" s="4">
        <v>8309.51</v>
      </c>
      <c r="C413" s="41">
        <v>11220.95</v>
      </c>
      <c r="D413" s="4">
        <v>6515.01</v>
      </c>
      <c r="E413" s="6">
        <f t="shared" ref="E413:E415" si="689">SUM(B413:D413)</f>
        <v>26045.47</v>
      </c>
      <c r="F413" s="4">
        <f>B413-B409</f>
        <v>4.569999999999709</v>
      </c>
      <c r="G413" s="4">
        <f t="shared" ref="G413:H413" si="690">C413-C409</f>
        <v>6.1100000000005821</v>
      </c>
      <c r="H413" s="4">
        <f t="shared" si="690"/>
        <v>3.2399999999997817</v>
      </c>
      <c r="I413" s="4">
        <f t="shared" ref="I413" si="691">SUM(F413:H413)</f>
        <v>13.920000000000073</v>
      </c>
      <c r="J413" s="26">
        <f>AVERAGE(I413:I443)</f>
        <v>12.243913043478207</v>
      </c>
    </row>
    <row r="414" spans="1:10" x14ac:dyDescent="0.25">
      <c r="A414" s="3">
        <v>45932</v>
      </c>
      <c r="B414" s="4">
        <v>8314.08</v>
      </c>
      <c r="C414" s="41">
        <v>11227.08</v>
      </c>
      <c r="D414" s="4">
        <v>6518.22</v>
      </c>
      <c r="E414" s="6">
        <f t="shared" si="689"/>
        <v>26059.38</v>
      </c>
      <c r="F414" s="4">
        <f>B414-B413</f>
        <v>4.569999999999709</v>
      </c>
      <c r="G414" s="4">
        <f t="shared" ref="G414:H414" si="692">C414-C413</f>
        <v>6.1299999999991996</v>
      </c>
      <c r="H414" s="4">
        <f t="shared" si="692"/>
        <v>3.2100000000000364</v>
      </c>
      <c r="I414" s="4">
        <f t="shared" ref="I414" si="693">SUM(F414:H414)</f>
        <v>13.909999999998945</v>
      </c>
    </row>
    <row r="415" spans="1:10" x14ac:dyDescent="0.25">
      <c r="A415" s="3">
        <v>45933</v>
      </c>
      <c r="B415" s="4">
        <v>8318.66</v>
      </c>
      <c r="C415" s="41">
        <v>10716.06</v>
      </c>
      <c r="D415" s="4">
        <v>6521.46</v>
      </c>
      <c r="E415" s="6">
        <f t="shared" si="689"/>
        <v>25556.18</v>
      </c>
      <c r="F415" s="4">
        <f>B415-B414</f>
        <v>4.5799999999999272</v>
      </c>
      <c r="G415" s="4">
        <f>C415-C414+500</f>
        <v>-11.020000000000437</v>
      </c>
      <c r="H415" s="4">
        <f t="shared" ref="H415" si="694">D415-D414</f>
        <v>3.2399999999997817</v>
      </c>
      <c r="I415" s="4">
        <f t="shared" ref="I415" si="695">SUM(F415:H415)</f>
        <v>-3.2000000000007276</v>
      </c>
    </row>
    <row r="416" spans="1:10" x14ac:dyDescent="0.25">
      <c r="A416" s="10">
        <v>45934</v>
      </c>
      <c r="B416" s="11">
        <v>8318.66</v>
      </c>
      <c r="C416" s="42">
        <v>10716.06</v>
      </c>
      <c r="D416" s="11">
        <v>6521.46</v>
      </c>
      <c r="E416" s="34">
        <f t="shared" ref="E416:E417" si="696">SUM(B416:D416)</f>
        <v>25556.18</v>
      </c>
      <c r="F416" s="11">
        <f t="shared" ref="F416:F417" si="697">B416-B415</f>
        <v>0</v>
      </c>
      <c r="G416" s="11">
        <f t="shared" ref="G416:G421" si="698">C416-C415</f>
        <v>0</v>
      </c>
      <c r="H416" s="11">
        <f t="shared" ref="H416:H417" si="699">D416-D415</f>
        <v>0</v>
      </c>
      <c r="I416" s="11"/>
    </row>
    <row r="417" spans="1:9" x14ac:dyDescent="0.25">
      <c r="A417" s="10">
        <v>45935</v>
      </c>
      <c r="B417" s="11">
        <v>8318.66</v>
      </c>
      <c r="C417" s="42">
        <v>10716.06</v>
      </c>
      <c r="D417" s="11">
        <v>6521.46</v>
      </c>
      <c r="E417" s="34">
        <f t="shared" si="696"/>
        <v>25556.18</v>
      </c>
      <c r="F417" s="11">
        <f t="shared" si="697"/>
        <v>0</v>
      </c>
      <c r="G417" s="11">
        <f t="shared" si="698"/>
        <v>0</v>
      </c>
      <c r="H417" s="11">
        <f t="shared" si="699"/>
        <v>0</v>
      </c>
      <c r="I417" s="11"/>
    </row>
    <row r="418" spans="1:9" x14ac:dyDescent="0.25">
      <c r="A418" s="3">
        <v>45936</v>
      </c>
      <c r="B418" s="4">
        <v>8323.2199999999993</v>
      </c>
      <c r="C418" s="41">
        <v>10721.9</v>
      </c>
      <c r="D418" s="4">
        <v>6524.71</v>
      </c>
      <c r="E418" s="6">
        <f t="shared" ref="E418" si="700">SUM(B418:D418)</f>
        <v>25569.829999999998</v>
      </c>
      <c r="F418" s="4">
        <f t="shared" ref="F418" si="701">B418-B417</f>
        <v>4.5599999999994907</v>
      </c>
      <c r="G418" s="4">
        <f t="shared" si="698"/>
        <v>5.8400000000001455</v>
      </c>
      <c r="H418" s="4">
        <f t="shared" ref="H418" si="702">D418-D417</f>
        <v>3.25</v>
      </c>
      <c r="I418" s="4">
        <f t="shared" ref="I418" si="703">SUM(F418:H418)</f>
        <v>13.649999999999636</v>
      </c>
    </row>
    <row r="419" spans="1:9" x14ac:dyDescent="0.25">
      <c r="A419" s="3">
        <v>45937</v>
      </c>
      <c r="B419" s="4">
        <v>8327.81</v>
      </c>
      <c r="C419" s="41">
        <v>10727.76</v>
      </c>
      <c r="D419" s="4">
        <v>6527.93</v>
      </c>
      <c r="E419" s="6">
        <f t="shared" ref="E419:E420" si="704">SUM(B419:D419)</f>
        <v>25583.5</v>
      </c>
      <c r="F419" s="4">
        <f t="shared" ref="F419" si="705">B419-B418</f>
        <v>4.5900000000001455</v>
      </c>
      <c r="G419" s="4">
        <f t="shared" si="698"/>
        <v>5.8600000000005821</v>
      </c>
      <c r="H419" s="4">
        <f t="shared" ref="H419" si="706">D419-D418</f>
        <v>3.2200000000002547</v>
      </c>
      <c r="I419" s="4">
        <f t="shared" ref="I419" si="707">SUM(F419:H419)</f>
        <v>13.670000000000982</v>
      </c>
    </row>
    <row r="420" spans="1:9" x14ac:dyDescent="0.25">
      <c r="A420" s="3">
        <v>45938</v>
      </c>
      <c r="B420" s="4">
        <v>8332.4</v>
      </c>
      <c r="C420" s="41">
        <v>10733.6</v>
      </c>
      <c r="D420" s="4">
        <v>6531.18</v>
      </c>
      <c r="E420" s="6">
        <f t="shared" si="704"/>
        <v>25597.18</v>
      </c>
      <c r="F420" s="4">
        <f t="shared" ref="F420" si="708">B420-B419</f>
        <v>4.5900000000001455</v>
      </c>
      <c r="G420" s="4">
        <f t="shared" si="698"/>
        <v>5.8400000000001455</v>
      </c>
      <c r="H420" s="4">
        <f t="shared" ref="H420" si="709">D420-D419</f>
        <v>3.25</v>
      </c>
      <c r="I420" s="4">
        <f t="shared" ref="I420" si="710">SUM(F420:H420)</f>
        <v>13.680000000000291</v>
      </c>
    </row>
    <row r="421" spans="1:9" x14ac:dyDescent="0.25">
      <c r="A421" s="3">
        <v>45939</v>
      </c>
      <c r="B421" s="4">
        <v>8336.99</v>
      </c>
      <c r="C421" s="41">
        <v>10739.46</v>
      </c>
      <c r="D421" s="4">
        <v>6534.42</v>
      </c>
      <c r="E421" s="6">
        <f t="shared" ref="E421:E424" si="711">SUM(B421:D421)</f>
        <v>25610.869999999995</v>
      </c>
      <c r="F421" s="4">
        <f t="shared" ref="F421" si="712">B421-B420</f>
        <v>4.5900000000001455</v>
      </c>
      <c r="G421" s="4">
        <f t="shared" si="698"/>
        <v>5.8599999999987631</v>
      </c>
      <c r="H421" s="4">
        <f t="shared" ref="H421" si="713">D421-D420</f>
        <v>3.2399999999997817</v>
      </c>
      <c r="I421" s="4">
        <f t="shared" ref="I421" si="714">SUM(F421:H421)</f>
        <v>13.68999999999869</v>
      </c>
    </row>
    <row r="422" spans="1:9" x14ac:dyDescent="0.25">
      <c r="A422" s="3">
        <v>45940</v>
      </c>
      <c r="B422" s="4">
        <v>8341.58</v>
      </c>
      <c r="C422" s="41">
        <v>10745.34</v>
      </c>
      <c r="D422" s="4">
        <v>6537.65</v>
      </c>
      <c r="E422" s="6">
        <f t="shared" si="711"/>
        <v>25624.57</v>
      </c>
      <c r="F422" s="4">
        <f t="shared" ref="F422" si="715">B422-B421</f>
        <v>4.5900000000001455</v>
      </c>
      <c r="G422" s="4">
        <f t="shared" ref="G422" si="716">C422-C421</f>
        <v>5.8800000000010186</v>
      </c>
      <c r="H422" s="4">
        <f t="shared" ref="H422" si="717">D422-D421</f>
        <v>3.2299999999995634</v>
      </c>
      <c r="I422" s="4">
        <f t="shared" ref="I422" si="718">SUM(F422:H422)</f>
        <v>13.700000000000728</v>
      </c>
    </row>
    <row r="423" spans="1:9" x14ac:dyDescent="0.25">
      <c r="A423" s="10">
        <v>45941</v>
      </c>
      <c r="B423" s="11">
        <v>8341.58</v>
      </c>
      <c r="C423" s="42">
        <v>10745.34</v>
      </c>
      <c r="D423" s="11">
        <v>6537.65</v>
      </c>
      <c r="E423" s="34">
        <f t="shared" si="711"/>
        <v>25624.57</v>
      </c>
      <c r="F423" s="11">
        <f t="shared" ref="F423:F424" si="719">B423-B422</f>
        <v>0</v>
      </c>
      <c r="G423" s="11">
        <f t="shared" ref="G423:G424" si="720">C423-C422</f>
        <v>0</v>
      </c>
      <c r="H423" s="11">
        <f t="shared" ref="H423:H424" si="721">D423-D422</f>
        <v>0</v>
      </c>
      <c r="I423" s="11"/>
    </row>
    <row r="424" spans="1:9" x14ac:dyDescent="0.25">
      <c r="A424" s="10">
        <v>45942</v>
      </c>
      <c r="B424" s="11">
        <v>8341.58</v>
      </c>
      <c r="C424" s="42">
        <v>10745.34</v>
      </c>
      <c r="D424" s="11">
        <v>6537.65</v>
      </c>
      <c r="E424" s="34">
        <f t="shared" si="711"/>
        <v>25624.57</v>
      </c>
      <c r="F424" s="11">
        <f t="shared" si="719"/>
        <v>0</v>
      </c>
      <c r="G424" s="11">
        <f t="shared" si="720"/>
        <v>0</v>
      </c>
      <c r="H424" s="11">
        <f t="shared" si="721"/>
        <v>0</v>
      </c>
      <c r="I424" s="11"/>
    </row>
    <row r="425" spans="1:9" x14ac:dyDescent="0.25">
      <c r="A425" s="3">
        <v>45943</v>
      </c>
      <c r="B425" s="4">
        <v>8346.16</v>
      </c>
      <c r="C425" s="41">
        <v>10751.18</v>
      </c>
      <c r="D425" s="4">
        <v>6540.9</v>
      </c>
      <c r="E425" s="6">
        <f t="shared" ref="E425:E429" si="722">SUM(B425:D425)</f>
        <v>25638.239999999998</v>
      </c>
      <c r="F425" s="4">
        <f>B425-B422</f>
        <v>4.5799999999999272</v>
      </c>
      <c r="G425" s="4">
        <f>C425-C422</f>
        <v>5.8400000000001455</v>
      </c>
      <c r="H425" s="4">
        <f>D425-D422</f>
        <v>3.25</v>
      </c>
      <c r="I425" s="4">
        <f t="shared" ref="I425" si="723">SUM(F425:H425)</f>
        <v>13.670000000000073</v>
      </c>
    </row>
    <row r="426" spans="1:9" x14ac:dyDescent="0.25">
      <c r="A426" s="3">
        <v>45944</v>
      </c>
      <c r="B426" s="4">
        <v>8350.76</v>
      </c>
      <c r="C426" s="41">
        <v>10757.06</v>
      </c>
      <c r="D426" s="4">
        <v>6544.15</v>
      </c>
      <c r="E426" s="6">
        <f t="shared" si="722"/>
        <v>25651.97</v>
      </c>
      <c r="F426" s="4">
        <f>B426-B425</f>
        <v>4.6000000000003638</v>
      </c>
      <c r="G426" s="4">
        <f t="shared" ref="G426:H426" si="724">C426-C425</f>
        <v>5.8799999999991996</v>
      </c>
      <c r="H426" s="4">
        <f t="shared" si="724"/>
        <v>3.25</v>
      </c>
      <c r="I426" s="4">
        <f t="shared" ref="I426" si="725">SUM(F426:H426)</f>
        <v>13.729999999999563</v>
      </c>
    </row>
    <row r="427" spans="1:9" x14ac:dyDescent="0.25">
      <c r="A427" s="3">
        <v>45945</v>
      </c>
      <c r="B427" s="4">
        <v>8355.35</v>
      </c>
      <c r="C427" s="41">
        <v>10762.93</v>
      </c>
      <c r="D427" s="4">
        <v>6547.38</v>
      </c>
      <c r="E427" s="6">
        <f t="shared" si="722"/>
        <v>25665.66</v>
      </c>
      <c r="F427" s="4">
        <f>B427-B426</f>
        <v>4.5900000000001455</v>
      </c>
      <c r="G427" s="4">
        <f t="shared" ref="G427" si="726">C427-C426</f>
        <v>5.8700000000008004</v>
      </c>
      <c r="H427" s="4">
        <f t="shared" ref="H427" si="727">D427-D426</f>
        <v>3.2300000000004729</v>
      </c>
      <c r="I427" s="4">
        <f t="shared" ref="I427" si="728">SUM(F427:H427)</f>
        <v>13.690000000001419</v>
      </c>
    </row>
    <row r="428" spans="1:9" x14ac:dyDescent="0.25">
      <c r="A428" s="3">
        <v>45946</v>
      </c>
      <c r="B428" s="4">
        <v>8359.9699999999993</v>
      </c>
      <c r="C428" s="41">
        <v>10768.81</v>
      </c>
      <c r="D428" s="4">
        <v>6550.64</v>
      </c>
      <c r="E428" s="6">
        <f t="shared" si="722"/>
        <v>25679.42</v>
      </c>
      <c r="F428" s="4">
        <f>B428-B427</f>
        <v>4.6199999999989814</v>
      </c>
      <c r="G428" s="4">
        <f t="shared" ref="G428" si="729">C428-C427</f>
        <v>5.8799999999991996</v>
      </c>
      <c r="H428" s="4">
        <f t="shared" ref="H428" si="730">D428-D427</f>
        <v>3.2600000000002183</v>
      </c>
      <c r="I428" s="4">
        <f t="shared" ref="I428" si="731">SUM(F428:H428)</f>
        <v>13.759999999998399</v>
      </c>
    </row>
    <row r="429" spans="1:9" x14ac:dyDescent="0.25">
      <c r="A429" s="3">
        <v>45947</v>
      </c>
      <c r="B429" s="4">
        <v>8364.5499999999993</v>
      </c>
      <c r="C429" s="41">
        <v>10774.67</v>
      </c>
      <c r="D429" s="4">
        <v>6553.88</v>
      </c>
      <c r="E429" s="6">
        <f t="shared" si="722"/>
        <v>25693.100000000002</v>
      </c>
      <c r="F429" s="4">
        <f>B429-B428</f>
        <v>4.5799999999999272</v>
      </c>
      <c r="G429" s="4">
        <f t="shared" ref="G429" si="732">C429-C428</f>
        <v>5.8600000000005821</v>
      </c>
      <c r="H429" s="4">
        <f t="shared" ref="H429" si="733">D429-D428</f>
        <v>3.2399999999997817</v>
      </c>
      <c r="I429" s="4">
        <f t="shared" ref="I429:I432" si="734">SUM(F429:H429)</f>
        <v>13.680000000000291</v>
      </c>
    </row>
    <row r="430" spans="1:9" x14ac:dyDescent="0.25">
      <c r="A430" s="3">
        <v>45948</v>
      </c>
      <c r="B430" s="11">
        <v>8364.5499999999993</v>
      </c>
      <c r="C430" s="42">
        <v>10774.67</v>
      </c>
      <c r="D430" s="11">
        <v>6553.88</v>
      </c>
      <c r="E430" s="34">
        <f t="shared" ref="E430:E433" si="735">SUM(B430:D430)</f>
        <v>25693.100000000002</v>
      </c>
      <c r="F430" s="11">
        <f t="shared" ref="F430:F431" si="736">B430-B429</f>
        <v>0</v>
      </c>
      <c r="G430" s="11">
        <f t="shared" ref="G430:G431" si="737">C430-C429</f>
        <v>0</v>
      </c>
      <c r="H430" s="11">
        <f t="shared" ref="H430:H431" si="738">D430-D429</f>
        <v>0</v>
      </c>
      <c r="I430" s="11"/>
    </row>
    <row r="431" spans="1:9" x14ac:dyDescent="0.25">
      <c r="A431" s="3">
        <v>45949</v>
      </c>
      <c r="B431" s="11">
        <v>8364.5499999999993</v>
      </c>
      <c r="C431" s="42">
        <v>10774.67</v>
      </c>
      <c r="D431" s="11">
        <v>6553.88</v>
      </c>
      <c r="E431" s="34">
        <f t="shared" si="735"/>
        <v>25693.100000000002</v>
      </c>
      <c r="F431" s="11">
        <f t="shared" si="736"/>
        <v>0</v>
      </c>
      <c r="G431" s="11">
        <f t="shared" si="737"/>
        <v>0</v>
      </c>
      <c r="H431" s="11">
        <f t="shared" si="738"/>
        <v>0</v>
      </c>
      <c r="I431" s="11"/>
    </row>
    <row r="432" spans="1:9" x14ac:dyDescent="0.25">
      <c r="A432" s="3">
        <v>45950</v>
      </c>
      <c r="B432" s="4">
        <v>8369.17</v>
      </c>
      <c r="C432" s="41">
        <v>10780.55</v>
      </c>
      <c r="D432" s="4">
        <v>6557.15</v>
      </c>
      <c r="E432" s="6">
        <f t="shared" si="735"/>
        <v>25706.870000000003</v>
      </c>
      <c r="F432" s="4">
        <f t="shared" ref="F432" si="739">B432-B431</f>
        <v>4.6200000000008004</v>
      </c>
      <c r="G432" s="4">
        <f t="shared" ref="G432" si="740">C432-C431</f>
        <v>5.8799999999991996</v>
      </c>
      <c r="H432" s="4">
        <f t="shared" ref="H432" si="741">D432-D431</f>
        <v>3.2699999999995271</v>
      </c>
      <c r="I432" s="4">
        <f t="shared" si="734"/>
        <v>13.769999999999527</v>
      </c>
    </row>
    <row r="433" spans="1:10" x14ac:dyDescent="0.25">
      <c r="A433" s="3">
        <v>45951</v>
      </c>
      <c r="B433" s="4">
        <v>8373.75</v>
      </c>
      <c r="C433" s="41">
        <v>10786.45</v>
      </c>
      <c r="D433" s="4">
        <v>6560.39</v>
      </c>
      <c r="E433" s="6">
        <f t="shared" si="735"/>
        <v>25720.59</v>
      </c>
      <c r="F433" s="4">
        <f t="shared" ref="F433" si="742">B433-B432</f>
        <v>4.5799999999999272</v>
      </c>
      <c r="G433" s="4">
        <f t="shared" ref="G433" si="743">C433-C432</f>
        <v>5.9000000000014552</v>
      </c>
      <c r="H433" s="4">
        <f t="shared" ref="H433" si="744">D433-D432</f>
        <v>3.2400000000006912</v>
      </c>
      <c r="I433" s="4">
        <f t="shared" ref="I433" si="745">SUM(F433:H433)</f>
        <v>13.720000000002074</v>
      </c>
    </row>
    <row r="434" spans="1:10" x14ac:dyDescent="0.25">
      <c r="A434" s="3">
        <v>45952</v>
      </c>
      <c r="B434" s="4">
        <v>8378.3799999999992</v>
      </c>
      <c r="C434" s="41">
        <v>10792.33</v>
      </c>
      <c r="D434" s="4">
        <v>6563.66</v>
      </c>
      <c r="E434" s="6">
        <f t="shared" ref="E434" si="746">SUM(B434:D434)</f>
        <v>25734.37</v>
      </c>
      <c r="F434" s="4">
        <f t="shared" ref="F434" si="747">B434-B433</f>
        <v>4.6299999999991996</v>
      </c>
      <c r="G434" s="4">
        <f t="shared" ref="G434" si="748">C434-C433</f>
        <v>5.8799999999991996</v>
      </c>
      <c r="H434" s="4">
        <f t="shared" ref="H434" si="749">D434-D433</f>
        <v>3.2699999999995271</v>
      </c>
      <c r="I434" s="4">
        <f t="shared" ref="I434" si="750">SUM(F434:H434)</f>
        <v>13.779999999997926</v>
      </c>
    </row>
    <row r="435" spans="1:10" x14ac:dyDescent="0.25">
      <c r="A435" s="3">
        <v>45953</v>
      </c>
      <c r="B435" s="4">
        <v>8383</v>
      </c>
      <c r="C435" s="41">
        <v>10798.22</v>
      </c>
      <c r="D435" s="4">
        <v>6566.92</v>
      </c>
      <c r="E435" s="6">
        <f t="shared" ref="E435" si="751">SUM(B435:D435)</f>
        <v>25748.14</v>
      </c>
      <c r="F435" s="4">
        <f t="shared" ref="F435" si="752">B435-B434</f>
        <v>4.6200000000008004</v>
      </c>
      <c r="G435" s="4">
        <f t="shared" ref="G435" si="753">C435-C434</f>
        <v>5.8899999999994179</v>
      </c>
      <c r="H435" s="4">
        <f t="shared" ref="H435" si="754">D435-D434</f>
        <v>3.2600000000002183</v>
      </c>
      <c r="I435" s="4">
        <f t="shared" ref="I435" si="755">SUM(F435:H435)</f>
        <v>13.770000000000437</v>
      </c>
    </row>
    <row r="436" spans="1:10" x14ac:dyDescent="0.25">
      <c r="A436" s="3">
        <v>45954</v>
      </c>
      <c r="B436" s="4">
        <v>8387.6200000000008</v>
      </c>
      <c r="C436" s="41">
        <v>10804.12</v>
      </c>
      <c r="D436" s="4">
        <v>6570.18</v>
      </c>
      <c r="E436" s="6">
        <f t="shared" ref="E436" si="756">SUM(B436:D436)</f>
        <v>25761.920000000002</v>
      </c>
      <c r="F436" s="4">
        <f t="shared" ref="F436" si="757">B436-B435</f>
        <v>4.6200000000008004</v>
      </c>
      <c r="G436" s="4">
        <f t="shared" ref="G436" si="758">C436-C435</f>
        <v>5.9000000000014552</v>
      </c>
      <c r="H436" s="4">
        <f t="shared" ref="H436" si="759">D436-D435</f>
        <v>3.2600000000002183</v>
      </c>
      <c r="I436" s="4">
        <f t="shared" ref="I436:I439" si="760">SUM(F436:H436)</f>
        <v>13.780000000002474</v>
      </c>
    </row>
    <row r="437" spans="1:10" x14ac:dyDescent="0.25">
      <c r="A437" s="3">
        <v>45955</v>
      </c>
      <c r="B437" s="11">
        <v>8387.6200000000008</v>
      </c>
      <c r="C437" s="42">
        <v>10804.12</v>
      </c>
      <c r="D437" s="11">
        <v>6570.18</v>
      </c>
      <c r="E437" s="34">
        <f t="shared" ref="E437:E438" si="761">SUM(B437:D437)</f>
        <v>25761.920000000002</v>
      </c>
      <c r="F437" s="11">
        <f t="shared" ref="F437:F438" si="762">B437-B436</f>
        <v>0</v>
      </c>
      <c r="G437" s="11">
        <f t="shared" ref="G437:G438" si="763">C437-C436</f>
        <v>0</v>
      </c>
      <c r="H437" s="11">
        <f t="shared" ref="H437:H438" si="764">D437-D436</f>
        <v>0</v>
      </c>
      <c r="I437" s="11"/>
    </row>
    <row r="438" spans="1:10" x14ac:dyDescent="0.25">
      <c r="A438" s="3">
        <v>45956</v>
      </c>
      <c r="B438" s="11">
        <v>8387.6200000000008</v>
      </c>
      <c r="C438" s="42">
        <v>10804.12</v>
      </c>
      <c r="D438" s="11">
        <v>6570.18</v>
      </c>
      <c r="E438" s="34">
        <f t="shared" si="761"/>
        <v>25761.920000000002</v>
      </c>
      <c r="F438" s="11">
        <f t="shared" si="762"/>
        <v>0</v>
      </c>
      <c r="G438" s="11">
        <f t="shared" si="763"/>
        <v>0</v>
      </c>
      <c r="H438" s="11">
        <f t="shared" si="764"/>
        <v>0</v>
      </c>
      <c r="I438" s="11"/>
    </row>
    <row r="439" spans="1:10" x14ac:dyDescent="0.25">
      <c r="A439" s="3">
        <v>45957</v>
      </c>
      <c r="B439" s="4">
        <v>8392.2199999999993</v>
      </c>
      <c r="C439" s="41">
        <v>10810.02</v>
      </c>
      <c r="D439" s="4">
        <v>6573.43</v>
      </c>
      <c r="E439" s="6">
        <f t="shared" ref="E439" si="765">SUM(B439:D439)</f>
        <v>25775.67</v>
      </c>
      <c r="F439" s="4">
        <f t="shared" ref="F439" si="766">B439-B438</f>
        <v>4.5999999999985448</v>
      </c>
      <c r="G439" s="4">
        <f t="shared" ref="G439" si="767">C439-C438</f>
        <v>5.8999999999996362</v>
      </c>
      <c r="H439" s="4">
        <f t="shared" ref="H439" si="768">D439-D438</f>
        <v>3.25</v>
      </c>
      <c r="I439" s="4">
        <f t="shared" si="760"/>
        <v>13.749999999998181</v>
      </c>
    </row>
    <row r="440" spans="1:10" x14ac:dyDescent="0.25">
      <c r="A440" s="3">
        <v>45958</v>
      </c>
      <c r="B440" s="4">
        <v>8396.85</v>
      </c>
      <c r="C440" s="41">
        <v>10815.92</v>
      </c>
      <c r="D440" s="4">
        <v>6576.7</v>
      </c>
      <c r="E440" s="6">
        <f t="shared" ref="E440:E441" si="769">SUM(B440:D440)</f>
        <v>25789.47</v>
      </c>
      <c r="F440" s="4">
        <f t="shared" ref="F440" si="770">B440-B439</f>
        <v>4.6300000000010186</v>
      </c>
      <c r="G440" s="4">
        <f t="shared" ref="G440" si="771">C440-C439</f>
        <v>5.8999999999996362</v>
      </c>
      <c r="H440" s="4">
        <f t="shared" ref="H440" si="772">D440-D439</f>
        <v>3.2699999999995271</v>
      </c>
      <c r="I440" s="4">
        <f t="shared" ref="I440" si="773">SUM(F440:H440)</f>
        <v>13.800000000000182</v>
      </c>
    </row>
    <row r="441" spans="1:10" x14ac:dyDescent="0.25">
      <c r="A441" s="3">
        <v>45959</v>
      </c>
      <c r="B441" s="4">
        <v>8401.4699999999993</v>
      </c>
      <c r="C441" s="41">
        <v>0</v>
      </c>
      <c r="D441" s="4">
        <v>6579.95</v>
      </c>
      <c r="E441" s="6">
        <f t="shared" si="769"/>
        <v>14981.419999999998</v>
      </c>
      <c r="F441" s="4">
        <f t="shared" ref="F441" si="774">B441-B440</f>
        <v>4.6199999999989814</v>
      </c>
      <c r="G441" s="4">
        <v>0</v>
      </c>
      <c r="H441" s="4">
        <f t="shared" ref="H441" si="775">D441-D440</f>
        <v>3.25</v>
      </c>
      <c r="I441" s="4">
        <f t="shared" ref="I441" si="776">SUM(F441:H441)</f>
        <v>7.8699999999989814</v>
      </c>
    </row>
    <row r="442" spans="1:10" x14ac:dyDescent="0.25">
      <c r="A442" s="3">
        <v>45960</v>
      </c>
      <c r="B442" s="4">
        <v>8406.1</v>
      </c>
      <c r="C442" s="41">
        <v>0</v>
      </c>
      <c r="D442" s="4">
        <v>6583.22</v>
      </c>
      <c r="E442" s="6">
        <f t="shared" ref="E442:E447" si="777">SUM(B442:D442)</f>
        <v>14989.32</v>
      </c>
      <c r="F442" s="4">
        <f t="shared" ref="F442" si="778">B442-B441</f>
        <v>4.6300000000010186</v>
      </c>
      <c r="G442" s="4">
        <v>0</v>
      </c>
      <c r="H442" s="4">
        <f t="shared" ref="H442" si="779">D442-D441</f>
        <v>3.2700000000004366</v>
      </c>
      <c r="I442" s="4">
        <f t="shared" ref="I442" si="780">SUM(F442:H442)</f>
        <v>7.9000000000014552</v>
      </c>
    </row>
    <row r="443" spans="1:10" x14ac:dyDescent="0.25">
      <c r="A443" s="3">
        <v>45961</v>
      </c>
      <c r="B443" s="4">
        <v>8410.74</v>
      </c>
      <c r="C443" s="41">
        <v>0</v>
      </c>
      <c r="D443" s="4">
        <v>6586.5</v>
      </c>
      <c r="E443" s="6">
        <f t="shared" si="777"/>
        <v>14997.24</v>
      </c>
      <c r="F443" s="4">
        <f t="shared" ref="F443" si="781">B443-B442</f>
        <v>4.6399999999994179</v>
      </c>
      <c r="G443" s="4">
        <v>0</v>
      </c>
      <c r="H443" s="4">
        <f t="shared" ref="H443" si="782">D443-D442</f>
        <v>3.2799999999997453</v>
      </c>
      <c r="I443" s="4">
        <f t="shared" ref="I443" si="783">SUM(F443:H443)</f>
        <v>7.9199999999991633</v>
      </c>
    </row>
    <row r="444" spans="1:10" x14ac:dyDescent="0.25">
      <c r="A444" s="5" t="s">
        <v>6</v>
      </c>
      <c r="B444" s="5"/>
      <c r="C444" s="5"/>
      <c r="D444" s="5"/>
      <c r="E444" s="5"/>
      <c r="F444" s="6">
        <f>SUM(F413:F443)</f>
        <v>105.79999999999927</v>
      </c>
      <c r="G444" s="6">
        <f t="shared" ref="G444:I444" si="784">SUM(G413:G443)</f>
        <v>101.07999999999993</v>
      </c>
      <c r="H444" s="6">
        <f t="shared" si="784"/>
        <v>74.729999999999563</v>
      </c>
      <c r="I444" s="6">
        <f t="shared" si="784"/>
        <v>281.60999999999876</v>
      </c>
    </row>
    <row r="445" spans="1:10" x14ac:dyDescent="0.25">
      <c r="E445" s="1"/>
    </row>
    <row r="446" spans="1:10" x14ac:dyDescent="0.25">
      <c r="E446" s="1"/>
    </row>
    <row r="447" spans="1:10" x14ac:dyDescent="0.25">
      <c r="A447" s="3">
        <v>45964</v>
      </c>
      <c r="B447" s="4">
        <v>8415.3700000000008</v>
      </c>
      <c r="C447" s="41">
        <v>0</v>
      </c>
      <c r="D447" s="4">
        <v>6589.77</v>
      </c>
      <c r="E447" s="6">
        <f t="shared" si="777"/>
        <v>15005.140000000001</v>
      </c>
      <c r="F447" s="4">
        <f>B447-B443</f>
        <v>4.6300000000010186</v>
      </c>
      <c r="G447" s="4">
        <f t="shared" ref="G447:H447" si="785">C447-C443</f>
        <v>0</v>
      </c>
      <c r="H447" s="4">
        <f t="shared" si="785"/>
        <v>3.2700000000004366</v>
      </c>
      <c r="I447" s="4">
        <f t="shared" ref="I447" si="786">SUM(F447:H447)</f>
        <v>7.9000000000014552</v>
      </c>
      <c r="J447" s="26">
        <f>AVERAGE(I447:I474)</f>
        <v>7.9684210526315598</v>
      </c>
    </row>
    <row r="448" spans="1:10" x14ac:dyDescent="0.25">
      <c r="A448" s="3">
        <v>45965</v>
      </c>
      <c r="B448" s="4">
        <v>8419.9699999999993</v>
      </c>
      <c r="C448" s="41">
        <v>0</v>
      </c>
      <c r="D448" s="4">
        <v>6593.02</v>
      </c>
      <c r="E448" s="6">
        <f t="shared" ref="E448:E450" si="787">SUM(B448:D448)</f>
        <v>15012.99</v>
      </c>
      <c r="F448" s="4">
        <f t="shared" ref="F448:I449" si="788">B448-B447</f>
        <v>4.5999999999985448</v>
      </c>
      <c r="G448" s="4">
        <f t="shared" si="788"/>
        <v>0</v>
      </c>
      <c r="H448" s="4">
        <f t="shared" si="788"/>
        <v>3.25</v>
      </c>
      <c r="I448" s="4">
        <f t="shared" si="788"/>
        <v>7.8499999999985448</v>
      </c>
    </row>
    <row r="449" spans="1:9" x14ac:dyDescent="0.25">
      <c r="A449" s="3">
        <v>45966</v>
      </c>
      <c r="B449" s="4">
        <v>8424.6200000000008</v>
      </c>
      <c r="C449" s="41">
        <v>0</v>
      </c>
      <c r="D449" s="4">
        <v>6596.31</v>
      </c>
      <c r="E449" s="6">
        <f t="shared" si="787"/>
        <v>15020.93</v>
      </c>
      <c r="F449" s="4">
        <f t="shared" si="788"/>
        <v>4.6500000000014552</v>
      </c>
      <c r="G449" s="4">
        <f t="shared" si="788"/>
        <v>0</v>
      </c>
      <c r="H449" s="4">
        <f t="shared" si="788"/>
        <v>3.2899999999999636</v>
      </c>
      <c r="I449" s="4">
        <f t="shared" si="788"/>
        <v>7.9400000000005093</v>
      </c>
    </row>
    <row r="450" spans="1:9" x14ac:dyDescent="0.25">
      <c r="A450" s="3">
        <v>45967</v>
      </c>
      <c r="B450" s="4">
        <v>8429.26</v>
      </c>
      <c r="C450" s="41">
        <v>0</v>
      </c>
      <c r="D450" s="4">
        <v>6599.57</v>
      </c>
      <c r="E450" s="6">
        <f t="shared" si="787"/>
        <v>15028.83</v>
      </c>
      <c r="F450" s="4">
        <f t="shared" ref="F450" si="789">B450-B449</f>
        <v>4.6399999999994179</v>
      </c>
      <c r="G450" s="4">
        <f t="shared" ref="G450" si="790">C450-C449</f>
        <v>0</v>
      </c>
      <c r="H450" s="4">
        <f t="shared" ref="H450" si="791">D450-D449</f>
        <v>3.2599999999993088</v>
      </c>
      <c r="I450" s="4">
        <f t="shared" ref="I450" si="792">E450-E449</f>
        <v>7.8999999999996362</v>
      </c>
    </row>
    <row r="451" spans="1:9" x14ac:dyDescent="0.25">
      <c r="A451" s="3">
        <v>45968</v>
      </c>
      <c r="B451" s="4">
        <v>8433.91</v>
      </c>
      <c r="C451" s="41">
        <v>0</v>
      </c>
      <c r="D451" s="4">
        <v>6602.84</v>
      </c>
      <c r="E451" s="6">
        <f t="shared" ref="E451" si="793">SUM(B451:D451)</f>
        <v>15036.75</v>
      </c>
      <c r="F451" s="4">
        <f t="shared" ref="F451" si="794">B451-B450</f>
        <v>4.6499999999996362</v>
      </c>
      <c r="G451" s="4">
        <f t="shared" ref="G451" si="795">C451-C450</f>
        <v>0</v>
      </c>
      <c r="H451" s="4">
        <f t="shared" ref="H451" si="796">D451-D450</f>
        <v>3.2700000000004366</v>
      </c>
      <c r="I451" s="4">
        <f t="shared" ref="I451" si="797">E451-E450</f>
        <v>7.9200000000000728</v>
      </c>
    </row>
    <row r="452" spans="1:9" x14ac:dyDescent="0.25">
      <c r="A452" s="3">
        <v>45969</v>
      </c>
      <c r="B452" s="11">
        <v>8433.91</v>
      </c>
      <c r="C452" s="42">
        <v>0</v>
      </c>
      <c r="D452" s="11">
        <v>6602.84</v>
      </c>
      <c r="E452" s="34">
        <f t="shared" ref="E452:E453" si="798">SUM(B452:D452)</f>
        <v>15036.75</v>
      </c>
      <c r="F452" s="11">
        <f t="shared" ref="F452:F453" si="799">B452-B451</f>
        <v>0</v>
      </c>
      <c r="G452" s="11">
        <f t="shared" ref="G452:G453" si="800">C452-C451</f>
        <v>0</v>
      </c>
      <c r="H452" s="11">
        <f t="shared" ref="H452:H453" si="801">D452-D451</f>
        <v>0</v>
      </c>
      <c r="I452" s="11"/>
    </row>
    <row r="453" spans="1:9" x14ac:dyDescent="0.25">
      <c r="A453" s="3">
        <v>45970</v>
      </c>
      <c r="B453" s="11">
        <v>8433.91</v>
      </c>
      <c r="C453" s="42">
        <v>0</v>
      </c>
      <c r="D453" s="11">
        <v>6602.84</v>
      </c>
      <c r="E453" s="34">
        <f t="shared" si="798"/>
        <v>15036.75</v>
      </c>
      <c r="F453" s="11">
        <f t="shared" si="799"/>
        <v>0</v>
      </c>
      <c r="G453" s="11">
        <f t="shared" si="800"/>
        <v>0</v>
      </c>
      <c r="H453" s="11">
        <f t="shared" si="801"/>
        <v>0</v>
      </c>
      <c r="I453" s="11"/>
    </row>
    <row r="454" spans="1:9" x14ac:dyDescent="0.25">
      <c r="A454" s="3">
        <v>45971</v>
      </c>
      <c r="B454" s="4">
        <v>8438.5499999999993</v>
      </c>
      <c r="C454" s="41">
        <v>0</v>
      </c>
      <c r="D454" s="4">
        <v>6606.13</v>
      </c>
      <c r="E454" s="6">
        <f t="shared" ref="E454" si="802">SUM(B454:D454)</f>
        <v>15044.68</v>
      </c>
      <c r="F454" s="4">
        <f t="shared" ref="F454:H455" si="803">B454-B453</f>
        <v>4.6399999999994179</v>
      </c>
      <c r="G454" s="4">
        <f t="shared" si="803"/>
        <v>0</v>
      </c>
      <c r="H454" s="4">
        <f t="shared" si="803"/>
        <v>3.2899999999999636</v>
      </c>
      <c r="I454" s="4">
        <f>E454-E451</f>
        <v>7.930000000000291</v>
      </c>
    </row>
    <row r="455" spans="1:9" x14ac:dyDescent="0.25">
      <c r="A455" s="3">
        <v>45972</v>
      </c>
      <c r="B455" s="4">
        <v>8443.19</v>
      </c>
      <c r="C455" s="41">
        <v>0</v>
      </c>
      <c r="D455" s="4">
        <v>6609.4</v>
      </c>
      <c r="E455" s="6">
        <f t="shared" ref="E455" si="804">SUM(B455:D455)</f>
        <v>15052.59</v>
      </c>
      <c r="F455" s="4">
        <f t="shared" si="803"/>
        <v>4.6400000000012369</v>
      </c>
      <c r="G455" s="4">
        <f t="shared" si="803"/>
        <v>0</v>
      </c>
      <c r="H455" s="4">
        <f t="shared" si="803"/>
        <v>3.2699999999995271</v>
      </c>
      <c r="I455" s="4">
        <f>E455-E454</f>
        <v>7.9099999999998545</v>
      </c>
    </row>
    <row r="456" spans="1:9" x14ac:dyDescent="0.25">
      <c r="A456" s="3">
        <v>45973</v>
      </c>
      <c r="B456" s="4">
        <v>8447.82</v>
      </c>
      <c r="C456" s="41">
        <v>0</v>
      </c>
      <c r="D456" s="4">
        <v>6612.69</v>
      </c>
      <c r="E456" s="6">
        <f t="shared" ref="E456" si="805">SUM(B456:D456)</f>
        <v>15060.509999999998</v>
      </c>
      <c r="F456" s="4">
        <f t="shared" ref="F456" si="806">B456-B455</f>
        <v>4.6299999999991996</v>
      </c>
      <c r="G456" s="4">
        <f t="shared" ref="G456" si="807">C456-C455</f>
        <v>0</v>
      </c>
      <c r="H456" s="4">
        <f t="shared" ref="H456" si="808">D456-D455</f>
        <v>3.2899999999999636</v>
      </c>
      <c r="I456" s="4">
        <f>E456-E455</f>
        <v>7.9199999999982538</v>
      </c>
    </row>
    <row r="457" spans="1:9" x14ac:dyDescent="0.25">
      <c r="A457" s="3">
        <v>45974</v>
      </c>
      <c r="B457" s="4">
        <v>8452.4699999999993</v>
      </c>
      <c r="C457" s="41">
        <v>0</v>
      </c>
      <c r="D457" s="4">
        <v>6615.95</v>
      </c>
      <c r="E457" s="6">
        <f t="shared" ref="E457" si="809">SUM(B457:D457)</f>
        <v>15068.419999999998</v>
      </c>
      <c r="F457" s="4">
        <f t="shared" ref="F457" si="810">B457-B456</f>
        <v>4.6499999999996362</v>
      </c>
      <c r="G457" s="4">
        <f t="shared" ref="G457" si="811">C457-C456</f>
        <v>0</v>
      </c>
      <c r="H457" s="4">
        <f t="shared" ref="H457" si="812">D457-D456</f>
        <v>3.2600000000002183</v>
      </c>
      <c r="I457" s="4">
        <f>E457-E456</f>
        <v>7.9099999999998545</v>
      </c>
    </row>
    <row r="458" spans="1:9" x14ac:dyDescent="0.25">
      <c r="A458" s="3">
        <v>45975</v>
      </c>
      <c r="B458" s="4">
        <v>8457.1200000000008</v>
      </c>
      <c r="C458" s="41">
        <v>0</v>
      </c>
      <c r="D458" s="4">
        <v>6619.24</v>
      </c>
      <c r="E458" s="6">
        <f t="shared" ref="E458" si="813">SUM(B458:D458)</f>
        <v>15076.36</v>
      </c>
      <c r="F458" s="4">
        <f t="shared" ref="F458" si="814">B458-B457</f>
        <v>4.6500000000014552</v>
      </c>
      <c r="G458" s="4">
        <f t="shared" ref="G458" si="815">C458-C457</f>
        <v>0</v>
      </c>
      <c r="H458" s="4">
        <f t="shared" ref="H458" si="816">D458-D457</f>
        <v>3.2899999999999636</v>
      </c>
      <c r="I458" s="4">
        <f>E458-E457</f>
        <v>7.9400000000023283</v>
      </c>
    </row>
    <row r="459" spans="1:9" x14ac:dyDescent="0.25">
      <c r="A459" s="3">
        <v>45976</v>
      </c>
      <c r="B459" s="11">
        <v>8457.1200000000008</v>
      </c>
      <c r="C459" s="42">
        <v>0</v>
      </c>
      <c r="D459" s="11">
        <v>6619.24</v>
      </c>
      <c r="E459" s="34">
        <f t="shared" ref="E459:E460" si="817">SUM(B459:D459)</f>
        <v>15076.36</v>
      </c>
      <c r="F459" s="11">
        <f t="shared" ref="F459:F460" si="818">B459-B458</f>
        <v>0</v>
      </c>
      <c r="G459" s="11">
        <f t="shared" ref="G459:G460" si="819">C459-C458</f>
        <v>0</v>
      </c>
      <c r="H459" s="11">
        <f t="shared" ref="H459:H460" si="820">D459-D458</f>
        <v>0</v>
      </c>
      <c r="I459" s="11"/>
    </row>
    <row r="460" spans="1:9" x14ac:dyDescent="0.25">
      <c r="A460" s="3">
        <v>45977</v>
      </c>
      <c r="B460" s="11">
        <v>8457.1200000000008</v>
      </c>
      <c r="C460" s="42">
        <v>0</v>
      </c>
      <c r="D460" s="11">
        <v>6619.24</v>
      </c>
      <c r="E460" s="34">
        <f t="shared" si="817"/>
        <v>15076.36</v>
      </c>
      <c r="F460" s="11">
        <f t="shared" si="818"/>
        <v>0</v>
      </c>
      <c r="G460" s="11">
        <f t="shared" si="819"/>
        <v>0</v>
      </c>
      <c r="H460" s="11">
        <f t="shared" si="820"/>
        <v>0</v>
      </c>
      <c r="I460" s="11"/>
    </row>
    <row r="461" spans="1:9" x14ac:dyDescent="0.25">
      <c r="A461" s="3">
        <v>45978</v>
      </c>
      <c r="B461" s="4">
        <v>8461.7900000000009</v>
      </c>
      <c r="C461" s="41">
        <v>0</v>
      </c>
      <c r="D461" s="4">
        <v>6622.52</v>
      </c>
      <c r="E461" s="6">
        <f t="shared" ref="E461" si="821">SUM(B461:D461)</f>
        <v>15084.310000000001</v>
      </c>
      <c r="F461" s="4">
        <f t="shared" ref="F461" si="822">B461-B460</f>
        <v>4.6700000000000728</v>
      </c>
      <c r="G461" s="4">
        <f t="shared" ref="G461" si="823">C461-C460</f>
        <v>0</v>
      </c>
      <c r="H461" s="4">
        <f t="shared" ref="H461" si="824">D461-D460</f>
        <v>3.2800000000006548</v>
      </c>
      <c r="I461" s="4">
        <f t="shared" ref="I461" si="825">E461-E460</f>
        <v>7.9500000000007276</v>
      </c>
    </row>
    <row r="462" spans="1:9" x14ac:dyDescent="0.25">
      <c r="A462" s="3">
        <v>45979</v>
      </c>
      <c r="B462" s="4">
        <v>8466.44</v>
      </c>
      <c r="C462" s="41">
        <v>0</v>
      </c>
      <c r="D462" s="4">
        <v>6625.81</v>
      </c>
      <c r="E462" s="6">
        <f t="shared" ref="E462" si="826">SUM(B462:D462)</f>
        <v>15092.25</v>
      </c>
      <c r="F462" s="4">
        <f t="shared" ref="F462" si="827">B462-B461</f>
        <v>4.6499999999996362</v>
      </c>
      <c r="G462" s="4">
        <f t="shared" ref="G462" si="828">C462-C461</f>
        <v>0</v>
      </c>
      <c r="H462" s="4">
        <f t="shared" ref="H462" si="829">D462-D461</f>
        <v>3.2899999999999636</v>
      </c>
      <c r="I462" s="4">
        <f t="shared" ref="I462" si="830">E462-E461</f>
        <v>7.9399999999986903</v>
      </c>
    </row>
    <row r="463" spans="1:9" x14ac:dyDescent="0.25">
      <c r="A463" s="3">
        <v>45980</v>
      </c>
      <c r="B463" s="4">
        <v>8471.11</v>
      </c>
      <c r="C463" s="41">
        <v>0</v>
      </c>
      <c r="D463" s="4">
        <v>6629.1</v>
      </c>
      <c r="E463" s="6">
        <f t="shared" ref="E463" si="831">SUM(B463:D463)</f>
        <v>15100.210000000001</v>
      </c>
      <c r="F463" s="4">
        <f t="shared" ref="F463" si="832">B463-B462</f>
        <v>4.6700000000000728</v>
      </c>
      <c r="G463" s="4">
        <f t="shared" ref="G463" si="833">C463-C462</f>
        <v>0</v>
      </c>
      <c r="H463" s="4">
        <f t="shared" ref="H463" si="834">D463-D462</f>
        <v>3.2899999999999636</v>
      </c>
      <c r="I463" s="4">
        <f t="shared" ref="I463" si="835">E463-E462</f>
        <v>7.9600000000009459</v>
      </c>
    </row>
    <row r="464" spans="1:9" x14ac:dyDescent="0.25">
      <c r="A464" s="3">
        <v>45981</v>
      </c>
      <c r="B464" s="11">
        <v>8471.11</v>
      </c>
      <c r="C464" s="42">
        <v>0</v>
      </c>
      <c r="D464" s="11">
        <v>6629.1</v>
      </c>
      <c r="E464" s="34">
        <f t="shared" ref="E464:E465" si="836">SUM(B464:D464)</f>
        <v>15100.210000000001</v>
      </c>
      <c r="F464" s="11">
        <f t="shared" ref="F464:F465" si="837">B464-B463</f>
        <v>0</v>
      </c>
      <c r="G464" s="11">
        <f t="shared" ref="G464:G465" si="838">C464-C463</f>
        <v>0</v>
      </c>
      <c r="H464" s="11">
        <f t="shared" ref="H464:H465" si="839">D464-D463</f>
        <v>0</v>
      </c>
      <c r="I464" s="11"/>
    </row>
    <row r="465" spans="1:9" x14ac:dyDescent="0.25">
      <c r="A465" s="3">
        <v>45982</v>
      </c>
      <c r="B465" s="4">
        <v>8475.7800000000007</v>
      </c>
      <c r="C465" s="41">
        <v>0</v>
      </c>
      <c r="D465" s="4">
        <v>6632.39</v>
      </c>
      <c r="E465" s="6">
        <f t="shared" si="836"/>
        <v>15108.170000000002</v>
      </c>
      <c r="F465" s="4">
        <f t="shared" si="837"/>
        <v>4.6700000000000728</v>
      </c>
      <c r="G465" s="4">
        <f t="shared" si="838"/>
        <v>0</v>
      </c>
      <c r="H465" s="4">
        <f t="shared" si="839"/>
        <v>3.2899999999999636</v>
      </c>
      <c r="I465" s="4">
        <f t="shared" ref="I465" si="840">E465-E464</f>
        <v>7.9600000000009459</v>
      </c>
    </row>
    <row r="466" spans="1:9" x14ac:dyDescent="0.25">
      <c r="A466" s="3">
        <v>45983</v>
      </c>
      <c r="B466" s="11">
        <v>8475.7800000000007</v>
      </c>
      <c r="C466" s="42">
        <v>0</v>
      </c>
      <c r="D466" s="11">
        <v>6632.39</v>
      </c>
      <c r="E466" s="34">
        <f t="shared" ref="E466:E467" si="841">SUM(B466:D466)</f>
        <v>15108.170000000002</v>
      </c>
      <c r="F466" s="11">
        <f t="shared" ref="F466:F467" si="842">B466-B465</f>
        <v>0</v>
      </c>
      <c r="G466" s="11">
        <f t="shared" ref="G466:G467" si="843">C466-C465</f>
        <v>0</v>
      </c>
      <c r="H466" s="11">
        <f t="shared" ref="H466:H467" si="844">D466-D465</f>
        <v>0</v>
      </c>
      <c r="I466" s="11"/>
    </row>
    <row r="467" spans="1:9" x14ac:dyDescent="0.25">
      <c r="A467" s="3">
        <v>45984</v>
      </c>
      <c r="B467" s="11">
        <v>8475.7800000000007</v>
      </c>
      <c r="C467" s="42">
        <v>0</v>
      </c>
      <c r="D467" s="11">
        <v>6632.39</v>
      </c>
      <c r="E467" s="34">
        <f t="shared" si="841"/>
        <v>15108.170000000002</v>
      </c>
      <c r="F467" s="11">
        <f t="shared" si="842"/>
        <v>0</v>
      </c>
      <c r="G467" s="11">
        <f t="shared" si="843"/>
        <v>0</v>
      </c>
      <c r="H467" s="11">
        <f t="shared" si="844"/>
        <v>0</v>
      </c>
      <c r="I467" s="11"/>
    </row>
    <row r="468" spans="1:9" x14ac:dyDescent="0.25">
      <c r="A468" s="3">
        <v>45985</v>
      </c>
      <c r="B468" s="4">
        <v>8480.42</v>
      </c>
      <c r="C468" s="41">
        <v>0</v>
      </c>
      <c r="D468" s="4">
        <v>6635.68</v>
      </c>
      <c r="E468" s="6">
        <f t="shared" ref="E468" si="845">SUM(B468:D468)</f>
        <v>15116.1</v>
      </c>
      <c r="F468" s="4">
        <f t="shared" ref="F468" si="846">B468-B467</f>
        <v>4.6399999999994179</v>
      </c>
      <c r="G468" s="4">
        <f t="shared" ref="G468" si="847">C468-C467</f>
        <v>0</v>
      </c>
      <c r="H468" s="4">
        <f t="shared" ref="H468" si="848">D468-D467</f>
        <v>3.2899999999999636</v>
      </c>
      <c r="I468" s="4">
        <f t="shared" ref="I468" si="849">E468-E467</f>
        <v>7.929999999998472</v>
      </c>
    </row>
    <row r="469" spans="1:9" x14ac:dyDescent="0.25">
      <c r="A469" s="3">
        <v>45986</v>
      </c>
      <c r="B469" s="4">
        <v>8485.1</v>
      </c>
      <c r="C469" s="4">
        <v>0</v>
      </c>
      <c r="D469" s="4">
        <v>6638.9750000000004</v>
      </c>
      <c r="E469" s="6">
        <f t="shared" ref="E469:E470" si="850">SUM(B469:D469)</f>
        <v>15124.075000000001</v>
      </c>
      <c r="F469" s="4">
        <f t="shared" ref="F469:F470" si="851">B469-B468</f>
        <v>4.680000000000291</v>
      </c>
      <c r="G469" s="4">
        <f t="shared" ref="G469:G470" si="852">C469-C468</f>
        <v>0</v>
      </c>
      <c r="H469" s="4">
        <f t="shared" ref="H469:H470" si="853">D469-D468</f>
        <v>3.2950000000000728</v>
      </c>
      <c r="I469" s="4">
        <f t="shared" ref="I469:I470" si="854">E469-E468</f>
        <v>7.9750000000003638</v>
      </c>
    </row>
    <row r="470" spans="1:9" x14ac:dyDescent="0.25">
      <c r="A470" s="3">
        <v>45987</v>
      </c>
      <c r="B470" s="4">
        <v>8489.7800000000007</v>
      </c>
      <c r="C470" s="41">
        <v>0</v>
      </c>
      <c r="D470" s="4">
        <v>6642.27</v>
      </c>
      <c r="E470" s="6">
        <f t="shared" si="850"/>
        <v>15132.050000000001</v>
      </c>
      <c r="F470" s="4">
        <f t="shared" si="851"/>
        <v>4.680000000000291</v>
      </c>
      <c r="G470" s="4">
        <f t="shared" si="852"/>
        <v>0</v>
      </c>
      <c r="H470" s="4">
        <f t="shared" si="853"/>
        <v>3.2950000000000728</v>
      </c>
      <c r="I470" s="4">
        <f t="shared" si="854"/>
        <v>7.9750000000003638</v>
      </c>
    </row>
    <row r="471" spans="1:9" x14ac:dyDescent="0.25">
      <c r="A471" s="3">
        <v>45988</v>
      </c>
      <c r="B471" s="4">
        <v>8494.7800000000007</v>
      </c>
      <c r="C471" s="4">
        <v>0</v>
      </c>
      <c r="D471" s="4">
        <v>6645.5649999999996</v>
      </c>
      <c r="E471" s="6">
        <f t="shared" ref="E471:E472" si="855">SUM(B471:D471)</f>
        <v>15140.345000000001</v>
      </c>
      <c r="F471" s="4">
        <f t="shared" ref="F471:F472" si="856">B471-B470</f>
        <v>5</v>
      </c>
      <c r="G471" s="4">
        <f t="shared" ref="G471:G472" si="857">C471-C470</f>
        <v>0</v>
      </c>
      <c r="H471" s="4">
        <f t="shared" ref="H471:H472" si="858">D471-D470</f>
        <v>3.2949999999991633</v>
      </c>
      <c r="I471" s="4">
        <f t="shared" ref="I471:I472" si="859">E471-E470</f>
        <v>8.2950000000000728</v>
      </c>
    </row>
    <row r="472" spans="1:9" x14ac:dyDescent="0.25">
      <c r="A472" s="3">
        <v>45989</v>
      </c>
      <c r="B472" s="4">
        <v>8499.7800000000007</v>
      </c>
      <c r="C472" s="41">
        <v>0</v>
      </c>
      <c r="D472" s="4">
        <v>6648.86</v>
      </c>
      <c r="E472" s="6">
        <f t="shared" si="855"/>
        <v>15148.64</v>
      </c>
      <c r="F472" s="4">
        <f t="shared" si="856"/>
        <v>5</v>
      </c>
      <c r="G472" s="4">
        <f t="shared" si="857"/>
        <v>0</v>
      </c>
      <c r="H472" s="4">
        <f t="shared" si="858"/>
        <v>3.2950000000000728</v>
      </c>
      <c r="I472" s="4">
        <f t="shared" si="859"/>
        <v>8.2949999999982538</v>
      </c>
    </row>
    <row r="473" spans="1:9" x14ac:dyDescent="0.25">
      <c r="A473" s="3">
        <v>45990</v>
      </c>
      <c r="B473" s="11">
        <v>8499.7800000000007</v>
      </c>
      <c r="C473" s="42">
        <v>0</v>
      </c>
      <c r="D473" s="11">
        <v>6648.86</v>
      </c>
      <c r="E473" s="34">
        <f t="shared" ref="E473:E474" si="860">SUM(B473:D473)</f>
        <v>15148.64</v>
      </c>
      <c r="F473" s="11">
        <f t="shared" ref="F473:F474" si="861">B473-B472</f>
        <v>0</v>
      </c>
      <c r="G473" s="11">
        <f t="shared" ref="G473:G474" si="862">C473-C472</f>
        <v>0</v>
      </c>
      <c r="H473" s="11">
        <f t="shared" ref="H473:H474" si="863">D473-D472</f>
        <v>0</v>
      </c>
      <c r="I473" s="11"/>
    </row>
    <row r="474" spans="1:9" x14ac:dyDescent="0.25">
      <c r="A474" s="3">
        <v>45991</v>
      </c>
      <c r="B474" s="11">
        <v>8499.7800000000007</v>
      </c>
      <c r="C474" s="42">
        <v>0</v>
      </c>
      <c r="D474" s="11">
        <v>6648.86</v>
      </c>
      <c r="E474" s="34">
        <f t="shared" si="860"/>
        <v>15148.64</v>
      </c>
      <c r="F474" s="11">
        <f t="shared" si="861"/>
        <v>0</v>
      </c>
      <c r="G474" s="11">
        <f t="shared" si="862"/>
        <v>0</v>
      </c>
      <c r="H474" s="11">
        <f t="shared" si="863"/>
        <v>0</v>
      </c>
      <c r="I474" s="11"/>
    </row>
    <row r="475" spans="1:9" x14ac:dyDescent="0.25">
      <c r="A475" s="5" t="s">
        <v>6</v>
      </c>
      <c r="B475" s="5"/>
      <c r="C475" s="5"/>
      <c r="D475" s="5"/>
      <c r="E475" s="5"/>
      <c r="F475" s="6">
        <f>SUM(F447:F474)</f>
        <v>89.040000000000873</v>
      </c>
      <c r="G475" s="6">
        <f t="shared" ref="G475:I475" si="864">SUM(G447:G474)</f>
        <v>0</v>
      </c>
      <c r="H475" s="6">
        <f t="shared" si="864"/>
        <v>62.359999999999673</v>
      </c>
      <c r="I475" s="6">
        <f t="shared" si="864"/>
        <v>151.39999999999964</v>
      </c>
    </row>
    <row r="477" spans="1:9" x14ac:dyDescent="0.25">
      <c r="B477" s="40"/>
      <c r="C477" s="40"/>
      <c r="D477" s="40"/>
    </row>
  </sheetData>
  <conditionalFormatting sqref="F377:I37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11:I4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:I33 I1:I17 K1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4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6:I66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8:I99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1:I133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5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6:I141 I143:I164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6:I199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01:I204 I206 I208:I23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02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01 I206 I208:I23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35:I244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35:I245 I248 I253:I259 I261:I265 I267:I27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35:I259 I261:I265 I267:I27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35:I27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77:I283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77:I30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10:I34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45:I375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80:I38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80:I40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87:I39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92:I39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01:I40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13:I443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4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47:I47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8CAE-F71C-4B3E-A320-BB2E6AD728F1}">
  <dimension ref="A1:S215"/>
  <sheetViews>
    <sheetView workbookViewId="0">
      <pane ySplit="1" topLeftCell="A206" activePane="bottomLeft" state="frozen"/>
      <selection pane="bottomLeft" activeCell="A212" activeCellId="7" sqref="A1:XFD1 A13:XFD13 A44:XFD44 A79:XFD79 A113:XFD113 A146:XFD146 A180:XFD180 A212:XFD212"/>
    </sheetView>
  </sheetViews>
  <sheetFormatPr defaultColWidth="15" defaultRowHeight="15" x14ac:dyDescent="0.25"/>
  <cols>
    <col min="1" max="2" width="15" style="1"/>
    <col min="3" max="3" width="17.28515625" style="1" bestFit="1" customWidth="1"/>
    <col min="4" max="7" width="15" style="1"/>
    <col min="8" max="8" width="17.85546875" style="1" customWidth="1"/>
    <col min="9" max="9" width="15" style="27"/>
    <col min="10" max="10" width="11.85546875" style="1" bestFit="1" customWidth="1"/>
    <col min="11" max="11" width="17.28515625" style="1" bestFit="1" customWidth="1"/>
    <col min="12" max="12" width="11.5703125" style="1" bestFit="1" customWidth="1"/>
    <col min="13" max="14" width="11.5703125" style="1" customWidth="1"/>
    <col min="15" max="15" width="14.7109375" style="1" bestFit="1" customWidth="1"/>
    <col min="16" max="16" width="14.7109375" style="1" customWidth="1"/>
    <col min="17" max="17" width="15" style="27"/>
    <col min="18" max="16384" width="15" style="1"/>
  </cols>
  <sheetData>
    <row r="1" spans="1:19" x14ac:dyDescent="0.25">
      <c r="A1" s="2" t="s">
        <v>0</v>
      </c>
      <c r="B1" s="25" t="s">
        <v>12</v>
      </c>
      <c r="C1" s="25" t="s">
        <v>13</v>
      </c>
      <c r="D1" s="25" t="s">
        <v>14</v>
      </c>
      <c r="E1" s="25" t="s">
        <v>15</v>
      </c>
      <c r="F1" s="25" t="s">
        <v>16</v>
      </c>
      <c r="G1" s="25" t="s">
        <v>18</v>
      </c>
      <c r="H1" s="25" t="s">
        <v>20</v>
      </c>
      <c r="I1" s="25" t="s">
        <v>11</v>
      </c>
      <c r="J1" s="22" t="s">
        <v>12</v>
      </c>
      <c r="K1" s="22" t="s">
        <v>13</v>
      </c>
      <c r="L1" s="22" t="s">
        <v>14</v>
      </c>
      <c r="M1" s="22" t="s">
        <v>15</v>
      </c>
      <c r="N1" s="22" t="s">
        <v>16</v>
      </c>
      <c r="O1" s="22" t="s">
        <v>18</v>
      </c>
      <c r="P1" s="22" t="s">
        <v>20</v>
      </c>
      <c r="Q1" s="22" t="s">
        <v>11</v>
      </c>
      <c r="S1" s="35" t="s">
        <v>11</v>
      </c>
    </row>
    <row r="2" spans="1:19" x14ac:dyDescent="0.25">
      <c r="A2" s="24">
        <v>45797</v>
      </c>
      <c r="B2" s="4">
        <v>5027.6000000000004</v>
      </c>
      <c r="C2" s="4">
        <v>15179.91</v>
      </c>
      <c r="D2" s="4">
        <v>4740.1000000000004</v>
      </c>
      <c r="E2" s="4">
        <v>1002.05</v>
      </c>
      <c r="F2" s="4">
        <v>1002.43</v>
      </c>
      <c r="G2" s="4"/>
      <c r="H2" s="4"/>
      <c r="I2" s="6">
        <f>MAX(B2:F2)</f>
        <v>15179.91</v>
      </c>
      <c r="J2" s="4"/>
      <c r="K2" s="4"/>
      <c r="L2" s="4"/>
      <c r="M2" s="4"/>
      <c r="N2" s="4"/>
      <c r="O2" s="4"/>
      <c r="P2" s="4"/>
      <c r="Q2" s="26"/>
      <c r="S2" s="26">
        <f>SUM(MAX(I210:I909))</f>
        <v>58694.83</v>
      </c>
    </row>
    <row r="3" spans="1:19" x14ac:dyDescent="0.25">
      <c r="A3" s="24">
        <v>45798</v>
      </c>
      <c r="B3" s="4">
        <v>5030.74</v>
      </c>
      <c r="C3" s="4">
        <v>15188.16</v>
      </c>
      <c r="D3" s="4">
        <v>4742.7700000000004</v>
      </c>
      <c r="E3" s="4">
        <v>1002.57</v>
      </c>
      <c r="F3" s="4">
        <v>1003.04</v>
      </c>
      <c r="G3" s="4"/>
      <c r="H3" s="4"/>
      <c r="I3" s="6">
        <f t="shared" ref="I3:I34" si="0">SUM(B3:F3)</f>
        <v>26967.280000000002</v>
      </c>
      <c r="J3" s="4">
        <f t="shared" ref="J3:J8" si="1">B3-B2</f>
        <v>3.1399999999994179</v>
      </c>
      <c r="K3" s="4">
        <f t="shared" ref="K3" si="2">C3-C2</f>
        <v>8.25</v>
      </c>
      <c r="L3" s="4">
        <f t="shared" ref="L3:L8" si="3">D3-D2</f>
        <v>2.6700000000000728</v>
      </c>
      <c r="M3" s="4">
        <f t="shared" ref="M3" si="4">E3-E2</f>
        <v>0.5200000000000955</v>
      </c>
      <c r="N3" s="4">
        <f t="shared" ref="N3" si="5">F3-F2</f>
        <v>0.61000000000001364</v>
      </c>
      <c r="O3" s="4"/>
      <c r="P3" s="4"/>
      <c r="Q3" s="26">
        <f t="shared" ref="Q3:Q10" si="6">SUM(J3:N3)</f>
        <v>15.1899999999996</v>
      </c>
    </row>
    <row r="4" spans="1:19" x14ac:dyDescent="0.25">
      <c r="A4" s="24">
        <v>45799</v>
      </c>
      <c r="B4" s="4">
        <v>5033.88</v>
      </c>
      <c r="C4" s="4">
        <v>15196.28</v>
      </c>
      <c r="D4" s="4">
        <v>4745.45</v>
      </c>
      <c r="E4" s="4">
        <v>1003.08</v>
      </c>
      <c r="F4" s="4">
        <v>1003.65</v>
      </c>
      <c r="G4" s="4"/>
      <c r="H4" s="4"/>
      <c r="I4" s="6">
        <f t="shared" si="0"/>
        <v>26982.340000000004</v>
      </c>
      <c r="J4" s="4">
        <f t="shared" si="1"/>
        <v>3.1400000000003274</v>
      </c>
      <c r="K4" s="4">
        <f t="shared" ref="K4" si="7">C4-C3</f>
        <v>8.1200000000008004</v>
      </c>
      <c r="L4" s="4">
        <f t="shared" si="3"/>
        <v>2.6799999999993815</v>
      </c>
      <c r="M4" s="4">
        <f t="shared" ref="M4" si="8">E4-E3</f>
        <v>0.50999999999999091</v>
      </c>
      <c r="N4" s="4">
        <f t="shared" ref="N4" si="9">F4-F3</f>
        <v>0.61000000000001364</v>
      </c>
      <c r="O4" s="4"/>
      <c r="P4" s="4"/>
      <c r="Q4" s="26">
        <f t="shared" si="6"/>
        <v>15.060000000000514</v>
      </c>
    </row>
    <row r="5" spans="1:19" x14ac:dyDescent="0.25">
      <c r="A5" s="24">
        <v>45800</v>
      </c>
      <c r="B5" s="4">
        <v>5037.4799999999996</v>
      </c>
      <c r="C5" s="4">
        <v>15204.9</v>
      </c>
      <c r="D5" s="4">
        <v>4748.12</v>
      </c>
      <c r="E5" s="4">
        <v>1003.6</v>
      </c>
      <c r="F5" s="4">
        <v>1004.26</v>
      </c>
      <c r="G5" s="4"/>
      <c r="H5" s="4"/>
      <c r="I5" s="6">
        <f t="shared" si="0"/>
        <v>26998.359999999993</v>
      </c>
      <c r="J5" s="4">
        <f t="shared" si="1"/>
        <v>3.5999999999994543</v>
      </c>
      <c r="K5" s="4">
        <f t="shared" ref="K5" si="10">C5-C4</f>
        <v>8.6199999999989814</v>
      </c>
      <c r="L5" s="4">
        <f t="shared" si="3"/>
        <v>2.6700000000000728</v>
      </c>
      <c r="M5" s="4">
        <f t="shared" ref="M5" si="11">E5-E4</f>
        <v>0.51999999999998181</v>
      </c>
      <c r="N5" s="4">
        <f t="shared" ref="N5" si="12">F5-F4</f>
        <v>0.61000000000001364</v>
      </c>
      <c r="O5" s="4"/>
      <c r="P5" s="4"/>
      <c r="Q5" s="26">
        <f t="shared" si="6"/>
        <v>16.019999999998504</v>
      </c>
    </row>
    <row r="6" spans="1:19" x14ac:dyDescent="0.25">
      <c r="A6" s="24">
        <v>45801</v>
      </c>
      <c r="B6" s="4">
        <v>5040.17</v>
      </c>
      <c r="C6" s="4">
        <v>15212.91</v>
      </c>
      <c r="D6" s="4">
        <v>4750.8100000000004</v>
      </c>
      <c r="E6" s="4">
        <v>1004.11</v>
      </c>
      <c r="F6" s="4">
        <v>1004.87</v>
      </c>
      <c r="G6" s="4"/>
      <c r="H6" s="4"/>
      <c r="I6" s="6">
        <f t="shared" si="0"/>
        <v>27012.870000000003</v>
      </c>
      <c r="J6" s="4">
        <f t="shared" si="1"/>
        <v>2.6900000000005093</v>
      </c>
      <c r="K6" s="4">
        <f t="shared" ref="K6" si="13">C6-C5</f>
        <v>8.0100000000002183</v>
      </c>
      <c r="L6" s="4">
        <f t="shared" si="3"/>
        <v>2.6900000000005093</v>
      </c>
      <c r="M6" s="4">
        <f t="shared" ref="M6" si="14">E6-E5</f>
        <v>0.50999999999999091</v>
      </c>
      <c r="N6" s="4">
        <f t="shared" ref="N6" si="15">F6-F5</f>
        <v>0.61000000000001364</v>
      </c>
      <c r="O6" s="4"/>
      <c r="P6" s="4"/>
      <c r="Q6" s="26">
        <f t="shared" si="6"/>
        <v>14.510000000001241</v>
      </c>
    </row>
    <row r="7" spans="1:19" x14ac:dyDescent="0.25">
      <c r="A7" s="24">
        <v>45802</v>
      </c>
      <c r="B7" s="4">
        <v>5043.3100000000004</v>
      </c>
      <c r="C7" s="4">
        <v>23923.56</v>
      </c>
      <c r="D7" s="4">
        <v>4753.49</v>
      </c>
      <c r="E7" s="4">
        <v>1004.62</v>
      </c>
      <c r="F7" s="4">
        <v>1005.48</v>
      </c>
      <c r="G7" s="4"/>
      <c r="H7" s="4"/>
      <c r="I7" s="6">
        <f t="shared" si="0"/>
        <v>35730.460000000006</v>
      </c>
      <c r="J7" s="4">
        <f t="shared" si="1"/>
        <v>3.1400000000003274</v>
      </c>
      <c r="K7" s="4">
        <v>10.64</v>
      </c>
      <c r="L7" s="4">
        <f t="shared" si="3"/>
        <v>2.6799999999993815</v>
      </c>
      <c r="M7" s="4">
        <f t="shared" ref="M7" si="16">E7-E6</f>
        <v>0.50999999999999091</v>
      </c>
      <c r="N7" s="4">
        <f t="shared" ref="N7" si="17">F7-F6</f>
        <v>0.61000000000001364</v>
      </c>
      <c r="O7" s="4"/>
      <c r="P7" s="4"/>
      <c r="Q7" s="26">
        <f t="shared" si="6"/>
        <v>17.579999999999714</v>
      </c>
    </row>
    <row r="8" spans="1:19" x14ac:dyDescent="0.25">
      <c r="A8" s="24">
        <v>45803</v>
      </c>
      <c r="B8" s="7">
        <v>5043.3100000000004</v>
      </c>
      <c r="C8" s="7">
        <v>23923.56</v>
      </c>
      <c r="D8" s="7">
        <v>4753.49</v>
      </c>
      <c r="E8" s="7">
        <v>1004.62</v>
      </c>
      <c r="F8" s="7">
        <v>1005.48</v>
      </c>
      <c r="G8" s="7"/>
      <c r="H8" s="7"/>
      <c r="I8" s="6">
        <f t="shared" si="0"/>
        <v>35730.460000000006</v>
      </c>
      <c r="J8" s="11">
        <f t="shared" si="1"/>
        <v>0</v>
      </c>
      <c r="K8" s="11">
        <f t="shared" ref="K8:K13" si="18">C8-C7</f>
        <v>0</v>
      </c>
      <c r="L8" s="11">
        <f t="shared" si="3"/>
        <v>0</v>
      </c>
      <c r="M8" s="11">
        <f t="shared" ref="M8" si="19">E8-E7</f>
        <v>0</v>
      </c>
      <c r="N8" s="11">
        <f t="shared" ref="N8" si="20">F8-F7</f>
        <v>0</v>
      </c>
      <c r="O8" s="11"/>
      <c r="P8" s="11"/>
      <c r="Q8" s="34">
        <f t="shared" si="6"/>
        <v>0</v>
      </c>
    </row>
    <row r="9" spans="1:19" x14ac:dyDescent="0.25">
      <c r="A9" s="24">
        <v>45804</v>
      </c>
      <c r="B9" s="7">
        <v>5046.47</v>
      </c>
      <c r="C9" s="7">
        <v>23937.02</v>
      </c>
      <c r="D9" s="4">
        <v>4756.18</v>
      </c>
      <c r="E9" s="4">
        <v>1005.14</v>
      </c>
      <c r="F9" s="4">
        <v>1006.09</v>
      </c>
      <c r="G9" s="4"/>
      <c r="H9" s="4"/>
      <c r="I9" s="6">
        <f t="shared" si="0"/>
        <v>35750.899999999994</v>
      </c>
      <c r="J9" s="4">
        <f t="shared" ref="J9:J13" si="21">B9-B8</f>
        <v>3.1599999999998545</v>
      </c>
      <c r="K9" s="4">
        <f t="shared" si="18"/>
        <v>13.459999999999127</v>
      </c>
      <c r="L9" s="4">
        <f t="shared" ref="L9" si="22">D9-D8</f>
        <v>2.6900000000005093</v>
      </c>
      <c r="M9" s="4">
        <f t="shared" ref="M9" si="23">E9-E8</f>
        <v>0.51999999999998181</v>
      </c>
      <c r="N9" s="4">
        <f t="shared" ref="N9" si="24">F9-F8</f>
        <v>0.61000000000001364</v>
      </c>
      <c r="O9" s="4"/>
      <c r="P9" s="4"/>
      <c r="Q9" s="26">
        <f t="shared" si="6"/>
        <v>20.439999999999486</v>
      </c>
    </row>
    <row r="10" spans="1:19" x14ac:dyDescent="0.25">
      <c r="A10" s="24">
        <v>45805</v>
      </c>
      <c r="B10" s="7">
        <v>5049.62</v>
      </c>
      <c r="C10" s="7">
        <v>23949.62</v>
      </c>
      <c r="D10" s="4">
        <v>4758.8500000000004</v>
      </c>
      <c r="E10" s="4">
        <v>1005.66</v>
      </c>
      <c r="F10" s="4">
        <v>1006.71</v>
      </c>
      <c r="G10" s="4"/>
      <c r="H10" s="4"/>
      <c r="I10" s="6">
        <f t="shared" si="0"/>
        <v>35770.46</v>
      </c>
      <c r="J10" s="4">
        <f t="shared" si="21"/>
        <v>3.1499999999996362</v>
      </c>
      <c r="K10" s="4">
        <f t="shared" si="18"/>
        <v>12.599999999998545</v>
      </c>
      <c r="L10" s="4">
        <f t="shared" ref="L10" si="25">D10-D9</f>
        <v>2.6700000000000728</v>
      </c>
      <c r="M10" s="4">
        <f t="shared" ref="M10" si="26">E10-E9</f>
        <v>0.51999999999998181</v>
      </c>
      <c r="N10" s="4">
        <f t="shared" ref="N10" si="27">F10-F9</f>
        <v>0.62000000000000455</v>
      </c>
      <c r="O10" s="4"/>
      <c r="P10" s="4"/>
      <c r="Q10" s="26">
        <f t="shared" si="6"/>
        <v>19.55999999999824</v>
      </c>
    </row>
    <row r="11" spans="1:19" x14ac:dyDescent="0.25">
      <c r="A11" s="24">
        <v>45806</v>
      </c>
      <c r="B11" s="7">
        <v>5052.76</v>
      </c>
      <c r="C11" s="7">
        <v>23963.43</v>
      </c>
      <c r="D11" s="4">
        <v>4761.54</v>
      </c>
      <c r="E11" s="4">
        <v>1006.17</v>
      </c>
      <c r="F11" s="4">
        <v>1007.32</v>
      </c>
      <c r="G11" s="4"/>
      <c r="H11" s="4"/>
      <c r="I11" s="6">
        <f t="shared" si="0"/>
        <v>35791.22</v>
      </c>
      <c r="J11" s="4">
        <f t="shared" si="21"/>
        <v>3.1400000000003274</v>
      </c>
      <c r="K11" s="4">
        <f t="shared" si="18"/>
        <v>13.81000000000131</v>
      </c>
      <c r="L11" s="4">
        <f t="shared" ref="L11" si="28">D11-D10</f>
        <v>2.6899999999995998</v>
      </c>
      <c r="M11" s="4">
        <f t="shared" ref="M11" si="29">E11-E10</f>
        <v>0.50999999999999091</v>
      </c>
      <c r="N11" s="4">
        <f t="shared" ref="N11" si="30">F11-F10</f>
        <v>0.61000000000001364</v>
      </c>
      <c r="O11" s="4"/>
      <c r="P11" s="4"/>
      <c r="Q11" s="26">
        <f>SUM(J11:N11)</f>
        <v>20.760000000001241</v>
      </c>
    </row>
    <row r="12" spans="1:19" x14ac:dyDescent="0.25">
      <c r="A12" s="24">
        <v>45807</v>
      </c>
      <c r="B12" s="7">
        <v>5055.91</v>
      </c>
      <c r="C12" s="7">
        <v>23969.49</v>
      </c>
      <c r="D12" s="4">
        <v>4764.2299999999996</v>
      </c>
      <c r="E12" s="4">
        <v>1006.69</v>
      </c>
      <c r="F12" s="4">
        <v>1007.93</v>
      </c>
      <c r="G12" s="4"/>
      <c r="H12" s="4"/>
      <c r="I12" s="6">
        <f t="shared" si="0"/>
        <v>35804.250000000007</v>
      </c>
      <c r="J12" s="4">
        <f t="shared" si="21"/>
        <v>3.1499999999996362</v>
      </c>
      <c r="K12" s="4">
        <f t="shared" si="18"/>
        <v>6.0600000000013097</v>
      </c>
      <c r="L12" s="4">
        <f t="shared" ref="L12:L13" si="31">D12-D11</f>
        <v>2.6899999999995998</v>
      </c>
      <c r="M12" s="4">
        <f t="shared" ref="M12" si="32">E12-E11</f>
        <v>0.5200000000000955</v>
      </c>
      <c r="N12" s="4">
        <f t="shared" ref="N12" si="33">F12-F11</f>
        <v>0.60999999999989996</v>
      </c>
      <c r="O12" s="4"/>
      <c r="P12" s="4"/>
      <c r="Q12" s="26">
        <f>SUM(J12:N12)</f>
        <v>13.030000000000541</v>
      </c>
    </row>
    <row r="13" spans="1:19" x14ac:dyDescent="0.25">
      <c r="A13" s="31">
        <v>45808</v>
      </c>
      <c r="B13" s="7">
        <v>5059.07</v>
      </c>
      <c r="C13" s="7">
        <v>23981.82</v>
      </c>
      <c r="D13" s="4">
        <v>4766.92</v>
      </c>
      <c r="E13" s="4">
        <v>1007.2</v>
      </c>
      <c r="F13" s="4">
        <v>1008.54</v>
      </c>
      <c r="G13" s="4"/>
      <c r="H13" s="4"/>
      <c r="I13" s="6">
        <f t="shared" si="0"/>
        <v>35823.549999999996</v>
      </c>
      <c r="J13" s="4">
        <f t="shared" si="21"/>
        <v>3.1599999999998545</v>
      </c>
      <c r="K13" s="4">
        <f t="shared" si="18"/>
        <v>12.329999999998108</v>
      </c>
      <c r="L13" s="4">
        <f t="shared" si="31"/>
        <v>2.6900000000005093</v>
      </c>
      <c r="M13" s="4">
        <f t="shared" ref="M13" si="34">E13-E12</f>
        <v>0.50999999999999091</v>
      </c>
      <c r="N13" s="4">
        <f t="shared" ref="N13" si="35">F13-F12</f>
        <v>0.61000000000001364</v>
      </c>
      <c r="O13" s="4"/>
      <c r="P13" s="4"/>
      <c r="Q13" s="26">
        <f>SUM(J13:N13)</f>
        <v>19.299999999998477</v>
      </c>
    </row>
    <row r="14" spans="1:19" x14ac:dyDescent="0.25">
      <c r="A14" s="32" t="s">
        <v>17</v>
      </c>
      <c r="B14" s="33"/>
      <c r="C14" s="33"/>
      <c r="D14" s="33"/>
      <c r="E14" s="33"/>
      <c r="F14" s="33"/>
      <c r="G14" s="33"/>
      <c r="H14" s="33"/>
      <c r="I14" s="33"/>
      <c r="J14" s="33">
        <f t="shared" ref="J14:Q14" si="36">SUM(J2:J13)</f>
        <v>31.469999999999345</v>
      </c>
      <c r="K14" s="33">
        <f t="shared" si="36"/>
        <v>101.8999999999984</v>
      </c>
      <c r="L14" s="33">
        <f t="shared" si="36"/>
        <v>26.819999999999709</v>
      </c>
      <c r="M14" s="33">
        <f t="shared" si="36"/>
        <v>5.1500000000000909</v>
      </c>
      <c r="N14" s="33">
        <f t="shared" si="36"/>
        <v>6.1100000000000136</v>
      </c>
      <c r="O14" s="33"/>
      <c r="P14" s="33"/>
      <c r="Q14" s="33">
        <f t="shared" si="36"/>
        <v>171.44999999999754</v>
      </c>
    </row>
    <row r="15" spans="1:19" x14ac:dyDescent="0.25">
      <c r="A15" s="28">
        <v>45809</v>
      </c>
      <c r="B15" s="7">
        <v>5059.07</v>
      </c>
      <c r="C15" s="7">
        <v>23981.82</v>
      </c>
      <c r="D15" s="4">
        <v>4766.92</v>
      </c>
      <c r="E15" s="4">
        <v>1007.2</v>
      </c>
      <c r="F15" s="4">
        <v>1008.54</v>
      </c>
      <c r="G15" s="4"/>
      <c r="H15" s="4"/>
      <c r="I15" s="6">
        <f t="shared" si="0"/>
        <v>35823.549999999996</v>
      </c>
      <c r="J15" s="29"/>
      <c r="K15" s="29"/>
      <c r="L15" s="29"/>
      <c r="M15" s="29"/>
      <c r="N15" s="29"/>
      <c r="O15" s="29"/>
      <c r="P15" s="29"/>
      <c r="Q15" s="30"/>
    </row>
    <row r="16" spans="1:19" x14ac:dyDescent="0.25">
      <c r="A16" s="3">
        <v>45810</v>
      </c>
      <c r="B16" s="7">
        <v>5062.2299999999996</v>
      </c>
      <c r="C16" s="7">
        <v>23994.92</v>
      </c>
      <c r="D16" s="4">
        <v>4769.6099999999997</v>
      </c>
      <c r="E16" s="4">
        <v>1007.72</v>
      </c>
      <c r="F16" s="4">
        <v>1009.16</v>
      </c>
      <c r="G16" s="4"/>
      <c r="H16" s="4"/>
      <c r="I16" s="6">
        <f t="shared" si="0"/>
        <v>35843.64</v>
      </c>
      <c r="J16" s="4">
        <f t="shared" ref="J16" si="37">B16-B15</f>
        <v>3.1599999999998545</v>
      </c>
      <c r="K16" s="4">
        <f t="shared" ref="K16" si="38">C16-C15</f>
        <v>13.099999999998545</v>
      </c>
      <c r="L16" s="4">
        <f t="shared" ref="L16" si="39">D16-D15</f>
        <v>2.6899999999995998</v>
      </c>
      <c r="M16" s="4">
        <f t="shared" ref="M16" si="40">E16-E15</f>
        <v>0.51999999999998181</v>
      </c>
      <c r="N16" s="4">
        <f t="shared" ref="N16" si="41">F16-F15</f>
        <v>0.62000000000000455</v>
      </c>
      <c r="O16" s="4"/>
      <c r="P16" s="4"/>
      <c r="Q16" s="26">
        <f>SUM(J16:N16)</f>
        <v>20.089999999997985</v>
      </c>
      <c r="R16" s="26">
        <f>AVERAGE(Q16:Q44)</f>
        <v>20.242631578947428</v>
      </c>
    </row>
    <row r="17" spans="1:17" x14ac:dyDescent="0.25">
      <c r="A17" s="3">
        <v>45811</v>
      </c>
      <c r="B17" s="7">
        <v>5065.3900000000003</v>
      </c>
      <c r="C17" s="7">
        <v>24008.22</v>
      </c>
      <c r="D17" s="4">
        <v>4772.3</v>
      </c>
      <c r="E17" s="4">
        <v>1008.24</v>
      </c>
      <c r="F17" s="4">
        <v>1009.77</v>
      </c>
      <c r="G17" s="4"/>
      <c r="H17" s="4"/>
      <c r="I17" s="6">
        <f t="shared" si="0"/>
        <v>35863.919999999998</v>
      </c>
      <c r="J17" s="4">
        <f t="shared" ref="J17" si="42">B17-B16</f>
        <v>3.160000000000764</v>
      </c>
      <c r="K17" s="4">
        <f t="shared" ref="K17" si="43">C17-C16</f>
        <v>13.30000000000291</v>
      </c>
      <c r="L17" s="4">
        <f t="shared" ref="L17" si="44">D17-D16</f>
        <v>2.6900000000005093</v>
      </c>
      <c r="M17" s="4">
        <f t="shared" ref="M17" si="45">E17-E16</f>
        <v>0.51999999999998181</v>
      </c>
      <c r="N17" s="4">
        <f t="shared" ref="N17" si="46">F17-F16</f>
        <v>0.61000000000001364</v>
      </c>
      <c r="O17" s="4"/>
      <c r="P17" s="4"/>
      <c r="Q17" s="26">
        <f>SUM(J17:N17)</f>
        <v>20.280000000004179</v>
      </c>
    </row>
    <row r="18" spans="1:17" x14ac:dyDescent="0.25">
      <c r="A18" s="3">
        <v>45812</v>
      </c>
      <c r="B18" s="7">
        <v>5068.55</v>
      </c>
      <c r="C18" s="7">
        <v>24021.47</v>
      </c>
      <c r="D18" s="4">
        <v>4774.99</v>
      </c>
      <c r="E18" s="4">
        <v>1008.75</v>
      </c>
      <c r="F18" s="4">
        <v>1010.38</v>
      </c>
      <c r="G18" s="4"/>
      <c r="H18" s="4"/>
      <c r="I18" s="6">
        <f t="shared" si="0"/>
        <v>35884.14</v>
      </c>
      <c r="J18" s="4">
        <f t="shared" ref="J18" si="47">B18-B17</f>
        <v>3.1599999999998545</v>
      </c>
      <c r="K18" s="4">
        <f t="shared" ref="K18" si="48">C18-C17</f>
        <v>13.25</v>
      </c>
      <c r="L18" s="4">
        <f t="shared" ref="L18" si="49">D18-D17</f>
        <v>2.6899999999995998</v>
      </c>
      <c r="M18" s="4">
        <f t="shared" ref="M18" si="50">E18-E17</f>
        <v>0.50999999999999091</v>
      </c>
      <c r="N18" s="4">
        <f t="shared" ref="N18" si="51">F18-F17</f>
        <v>0.61000000000001364</v>
      </c>
      <c r="O18" s="4"/>
      <c r="P18" s="4"/>
      <c r="Q18" s="26">
        <f>SUM(J18:N18)</f>
        <v>20.219999999999459</v>
      </c>
    </row>
    <row r="19" spans="1:17" x14ac:dyDescent="0.25">
      <c r="A19" s="3">
        <v>45813</v>
      </c>
      <c r="B19" s="7">
        <v>5071.72</v>
      </c>
      <c r="C19" s="7">
        <v>24033.93</v>
      </c>
      <c r="D19" s="4">
        <v>4777.6899999999996</v>
      </c>
      <c r="E19" s="4">
        <v>1009.27</v>
      </c>
      <c r="F19" s="4">
        <v>1011</v>
      </c>
      <c r="G19" s="4"/>
      <c r="H19" s="4"/>
      <c r="I19" s="6">
        <f t="shared" si="0"/>
        <v>35903.61</v>
      </c>
      <c r="J19" s="4">
        <f t="shared" ref="J19:J23" si="52">B19-B18</f>
        <v>3.1700000000000728</v>
      </c>
      <c r="K19" s="4">
        <f t="shared" ref="K19:K23" si="53">C19-C18</f>
        <v>12.459999999999127</v>
      </c>
      <c r="L19" s="4">
        <f t="shared" ref="L19:L23" si="54">D19-D18</f>
        <v>2.6999999999998181</v>
      </c>
      <c r="M19" s="4">
        <f t="shared" ref="M19" si="55">E19-E18</f>
        <v>0.51999999999998181</v>
      </c>
      <c r="N19" s="4">
        <f t="shared" ref="N19" si="56">F19-F18</f>
        <v>0.62000000000000455</v>
      </c>
      <c r="O19" s="4"/>
      <c r="P19" s="4"/>
      <c r="Q19" s="26">
        <f>SUM(J19:N19)</f>
        <v>19.469999999999004</v>
      </c>
    </row>
    <row r="20" spans="1:17" x14ac:dyDescent="0.25">
      <c r="A20" s="10">
        <v>45814</v>
      </c>
      <c r="B20" s="11">
        <v>5071.72</v>
      </c>
      <c r="C20" s="11">
        <v>24033.93</v>
      </c>
      <c r="D20" s="11">
        <v>4777.6899999999996</v>
      </c>
      <c r="E20" s="11">
        <v>1009.27</v>
      </c>
      <c r="F20" s="11">
        <v>1011</v>
      </c>
      <c r="G20" s="11"/>
      <c r="H20" s="11"/>
      <c r="I20" s="34">
        <f t="shared" si="0"/>
        <v>35903.61</v>
      </c>
      <c r="J20" s="11">
        <f t="shared" si="52"/>
        <v>0</v>
      </c>
      <c r="K20" s="11">
        <f t="shared" si="53"/>
        <v>0</v>
      </c>
      <c r="L20" s="11">
        <f t="shared" si="54"/>
        <v>0</v>
      </c>
      <c r="M20" s="11">
        <f t="shared" ref="M20:M21" si="57">E20-E19</f>
        <v>0</v>
      </c>
      <c r="N20" s="11">
        <f t="shared" ref="N20:N21" si="58">F20-F19</f>
        <v>0</v>
      </c>
      <c r="O20" s="11"/>
      <c r="P20" s="11"/>
      <c r="Q20" s="11"/>
    </row>
    <row r="21" spans="1:17" x14ac:dyDescent="0.25">
      <c r="A21" s="10">
        <v>45815</v>
      </c>
      <c r="B21" s="11">
        <v>5071.72</v>
      </c>
      <c r="C21" s="11">
        <v>24033.93</v>
      </c>
      <c r="D21" s="11">
        <v>4777.6899999999996</v>
      </c>
      <c r="E21" s="11">
        <v>1009.27</v>
      </c>
      <c r="F21" s="11">
        <v>1011</v>
      </c>
      <c r="G21" s="11"/>
      <c r="H21" s="11"/>
      <c r="I21" s="34">
        <f t="shared" si="0"/>
        <v>35903.61</v>
      </c>
      <c r="J21" s="11">
        <f t="shared" si="52"/>
        <v>0</v>
      </c>
      <c r="K21" s="11">
        <f t="shared" si="53"/>
        <v>0</v>
      </c>
      <c r="L21" s="11">
        <f t="shared" si="54"/>
        <v>0</v>
      </c>
      <c r="M21" s="11">
        <f t="shared" si="57"/>
        <v>0</v>
      </c>
      <c r="N21" s="11">
        <f t="shared" si="58"/>
        <v>0</v>
      </c>
      <c r="O21" s="11"/>
      <c r="P21" s="11"/>
      <c r="Q21" s="11"/>
    </row>
    <row r="22" spans="1:17" x14ac:dyDescent="0.25">
      <c r="A22" s="3">
        <v>45816</v>
      </c>
      <c r="B22" s="7">
        <v>5074.87</v>
      </c>
      <c r="C22" s="7">
        <v>24048.43</v>
      </c>
      <c r="D22" s="4">
        <v>4780.3900000000003</v>
      </c>
      <c r="E22" s="4">
        <v>1009.79</v>
      </c>
      <c r="F22" s="4">
        <v>1011.61</v>
      </c>
      <c r="G22" s="4"/>
      <c r="H22" s="4"/>
      <c r="I22" s="6">
        <f t="shared" si="0"/>
        <v>35925.090000000004</v>
      </c>
      <c r="J22" s="4">
        <f t="shared" si="52"/>
        <v>3.1499999999996362</v>
      </c>
      <c r="K22" s="4">
        <f t="shared" si="53"/>
        <v>14.5</v>
      </c>
      <c r="L22" s="4">
        <f t="shared" si="54"/>
        <v>2.7000000000007276</v>
      </c>
      <c r="M22" s="4">
        <f t="shared" ref="M22" si="59">E22-E21</f>
        <v>0.51999999999998181</v>
      </c>
      <c r="N22" s="4">
        <f t="shared" ref="N22" si="60">F22-F21</f>
        <v>0.61000000000001364</v>
      </c>
      <c r="O22" s="4"/>
      <c r="P22" s="4"/>
      <c r="Q22" s="26">
        <f t="shared" ref="Q22:Q26" si="61">SUM(J22:N22)</f>
        <v>21.480000000000359</v>
      </c>
    </row>
    <row r="23" spans="1:17" x14ac:dyDescent="0.25">
      <c r="A23" s="3">
        <v>45817</v>
      </c>
      <c r="B23" s="7">
        <v>5078.04</v>
      </c>
      <c r="C23" s="7">
        <v>24061.97</v>
      </c>
      <c r="D23" s="4">
        <v>4783.08</v>
      </c>
      <c r="E23" s="4">
        <v>1010.31</v>
      </c>
      <c r="F23" s="4">
        <v>1012.23</v>
      </c>
      <c r="G23" s="4"/>
      <c r="H23" s="4"/>
      <c r="I23" s="6">
        <f t="shared" si="0"/>
        <v>35945.630000000005</v>
      </c>
      <c r="J23" s="4">
        <f t="shared" si="52"/>
        <v>3.1700000000000728</v>
      </c>
      <c r="K23" s="4">
        <f t="shared" si="53"/>
        <v>13.540000000000873</v>
      </c>
      <c r="L23" s="4">
        <f t="shared" si="54"/>
        <v>2.6899999999995998</v>
      </c>
      <c r="M23" s="4">
        <f t="shared" ref="M23" si="62">E23-E22</f>
        <v>0.51999999999998181</v>
      </c>
      <c r="N23" s="4">
        <f t="shared" ref="N23" si="63">F23-F22</f>
        <v>0.62000000000000455</v>
      </c>
      <c r="O23" s="4"/>
      <c r="P23" s="4"/>
      <c r="Q23" s="26">
        <f t="shared" si="61"/>
        <v>20.540000000000532</v>
      </c>
    </row>
    <row r="24" spans="1:17" x14ac:dyDescent="0.25">
      <c r="A24" s="3">
        <v>45818</v>
      </c>
      <c r="B24" s="7">
        <v>5081.22</v>
      </c>
      <c r="C24" s="7">
        <v>24075.55</v>
      </c>
      <c r="D24" s="4">
        <v>4785.78</v>
      </c>
      <c r="E24" s="4">
        <v>1010.82</v>
      </c>
      <c r="F24" s="4">
        <v>1012.84</v>
      </c>
      <c r="G24" s="4"/>
      <c r="H24" s="4"/>
      <c r="I24" s="6">
        <f t="shared" si="0"/>
        <v>35966.21</v>
      </c>
      <c r="J24" s="4">
        <f t="shared" ref="J24" si="64">B24-B23</f>
        <v>3.180000000000291</v>
      </c>
      <c r="K24" s="4">
        <f t="shared" ref="K24" si="65">C24-C23</f>
        <v>13.579999999998108</v>
      </c>
      <c r="L24" s="4">
        <f t="shared" ref="L24" si="66">D24-D23</f>
        <v>2.6999999999998181</v>
      </c>
      <c r="M24" s="4">
        <f t="shared" ref="M24" si="67">E24-E23</f>
        <v>0.51000000000010459</v>
      </c>
      <c r="N24" s="4">
        <f t="shared" ref="N24" si="68">F24-F23</f>
        <v>0.61000000000001364</v>
      </c>
      <c r="O24" s="4"/>
      <c r="P24" s="4"/>
      <c r="Q24" s="26">
        <f t="shared" si="61"/>
        <v>20.579999999998336</v>
      </c>
    </row>
    <row r="25" spans="1:17" x14ac:dyDescent="0.25">
      <c r="A25" s="3">
        <v>45819</v>
      </c>
      <c r="B25" s="7">
        <v>5084.3900000000003</v>
      </c>
      <c r="C25" s="7">
        <v>24088.91</v>
      </c>
      <c r="D25" s="4">
        <v>4788.49</v>
      </c>
      <c r="E25" s="4">
        <v>1011.34</v>
      </c>
      <c r="F25" s="4">
        <v>1013.46</v>
      </c>
      <c r="G25" s="4"/>
      <c r="H25" s="4"/>
      <c r="I25" s="6">
        <f t="shared" si="0"/>
        <v>35986.589999999997</v>
      </c>
      <c r="J25" s="4">
        <f t="shared" ref="J25" si="69">B25-B24</f>
        <v>3.1700000000000728</v>
      </c>
      <c r="K25" s="4">
        <f t="shared" ref="K25" si="70">C25-C24</f>
        <v>13.360000000000582</v>
      </c>
      <c r="L25" s="4">
        <f t="shared" ref="L25" si="71">D25-D24</f>
        <v>2.7100000000000364</v>
      </c>
      <c r="M25" s="4">
        <f t="shared" ref="M25" si="72">E25-E24</f>
        <v>0.51999999999998181</v>
      </c>
      <c r="N25" s="4">
        <f t="shared" ref="N25" si="73">F25-F24</f>
        <v>0.62000000000000455</v>
      </c>
      <c r="O25" s="4"/>
      <c r="P25" s="4"/>
      <c r="Q25" s="26">
        <f t="shared" si="61"/>
        <v>20.380000000000678</v>
      </c>
    </row>
    <row r="26" spans="1:17" x14ac:dyDescent="0.25">
      <c r="A26" s="3">
        <v>45820</v>
      </c>
      <c r="B26" s="7">
        <v>5087.5600000000004</v>
      </c>
      <c r="C26" s="7">
        <v>24101.98</v>
      </c>
      <c r="D26" s="4">
        <v>4791.18</v>
      </c>
      <c r="E26" s="4">
        <v>1011.86</v>
      </c>
      <c r="F26" s="4">
        <v>1014.07</v>
      </c>
      <c r="G26" s="4"/>
      <c r="H26" s="4"/>
      <c r="I26" s="6">
        <f t="shared" si="0"/>
        <v>36006.65</v>
      </c>
      <c r="J26" s="4">
        <f t="shared" ref="J26" si="74">B26-B25</f>
        <v>3.1700000000000728</v>
      </c>
      <c r="K26" s="4">
        <f t="shared" ref="K26" si="75">C26-C25</f>
        <v>13.069999999999709</v>
      </c>
      <c r="L26" s="4">
        <f t="shared" ref="L26" si="76">D26-D25</f>
        <v>2.6900000000005093</v>
      </c>
      <c r="M26" s="4">
        <f t="shared" ref="M26" si="77">E26-E25</f>
        <v>0.51999999999998181</v>
      </c>
      <c r="N26" s="4">
        <f t="shared" ref="N26" si="78">F26-F25</f>
        <v>0.61000000000001364</v>
      </c>
      <c r="O26" s="4"/>
      <c r="P26" s="4"/>
      <c r="Q26" s="26">
        <f t="shared" si="61"/>
        <v>20.060000000000286</v>
      </c>
    </row>
    <row r="27" spans="1:17" x14ac:dyDescent="0.25">
      <c r="A27" s="10">
        <v>45821</v>
      </c>
      <c r="B27" s="11">
        <v>5087.5600000000004</v>
      </c>
      <c r="C27" s="11">
        <v>24101.98</v>
      </c>
      <c r="D27" s="11">
        <v>4791.18</v>
      </c>
      <c r="E27" s="11">
        <v>1011.86</v>
      </c>
      <c r="F27" s="11">
        <v>1014.07</v>
      </c>
      <c r="G27" s="11"/>
      <c r="H27" s="11"/>
      <c r="I27" s="34">
        <f t="shared" si="0"/>
        <v>36006.65</v>
      </c>
      <c r="J27" s="11">
        <f t="shared" ref="J27:J30" si="79">B27-B26</f>
        <v>0</v>
      </c>
      <c r="K27" s="11">
        <f t="shared" ref="K27:K30" si="80">C27-C26</f>
        <v>0</v>
      </c>
      <c r="L27" s="11">
        <f t="shared" ref="L27:L29" si="81">D27-D26</f>
        <v>0</v>
      </c>
      <c r="M27" s="11">
        <f t="shared" ref="M27:M29" si="82">E27-E26</f>
        <v>0</v>
      </c>
      <c r="N27" s="11">
        <f t="shared" ref="N27:N29" si="83">F27-F26</f>
        <v>0</v>
      </c>
      <c r="O27" s="11"/>
      <c r="P27" s="11"/>
      <c r="Q27" s="11"/>
    </row>
    <row r="28" spans="1:17" x14ac:dyDescent="0.25">
      <c r="A28" s="10">
        <v>45822</v>
      </c>
      <c r="B28" s="11">
        <v>5087.5600000000004</v>
      </c>
      <c r="C28" s="11">
        <v>24101.98</v>
      </c>
      <c r="D28" s="11">
        <v>4791.18</v>
      </c>
      <c r="E28" s="11">
        <v>1011.86</v>
      </c>
      <c r="F28" s="11">
        <v>1014.07</v>
      </c>
      <c r="G28" s="11"/>
      <c r="H28" s="11"/>
      <c r="I28" s="34">
        <f t="shared" si="0"/>
        <v>36006.65</v>
      </c>
      <c r="J28" s="11">
        <f t="shared" si="79"/>
        <v>0</v>
      </c>
      <c r="K28" s="11">
        <f t="shared" si="80"/>
        <v>0</v>
      </c>
      <c r="L28" s="11">
        <f t="shared" si="81"/>
        <v>0</v>
      </c>
      <c r="M28" s="11">
        <f t="shared" si="82"/>
        <v>0</v>
      </c>
      <c r="N28" s="11">
        <f t="shared" si="83"/>
        <v>0</v>
      </c>
      <c r="O28" s="11"/>
      <c r="P28" s="11"/>
      <c r="Q28" s="11"/>
    </row>
    <row r="29" spans="1:17" x14ac:dyDescent="0.25">
      <c r="A29" s="10">
        <v>45823</v>
      </c>
      <c r="B29" s="11">
        <v>5087.5600000000004</v>
      </c>
      <c r="C29" s="11">
        <v>24101.98</v>
      </c>
      <c r="D29" s="11">
        <v>4791.18</v>
      </c>
      <c r="E29" s="11">
        <v>1011.86</v>
      </c>
      <c r="F29" s="11">
        <v>1014.07</v>
      </c>
      <c r="G29" s="11"/>
      <c r="H29" s="11"/>
      <c r="I29" s="34">
        <f t="shared" si="0"/>
        <v>36006.65</v>
      </c>
      <c r="J29" s="11">
        <f t="shared" si="79"/>
        <v>0</v>
      </c>
      <c r="K29" s="11">
        <f t="shared" si="80"/>
        <v>0</v>
      </c>
      <c r="L29" s="11">
        <f t="shared" si="81"/>
        <v>0</v>
      </c>
      <c r="M29" s="11">
        <f t="shared" si="82"/>
        <v>0</v>
      </c>
      <c r="N29" s="11">
        <f t="shared" si="83"/>
        <v>0</v>
      </c>
      <c r="O29" s="11"/>
      <c r="P29" s="11"/>
      <c r="Q29" s="11"/>
    </row>
    <row r="30" spans="1:17" x14ac:dyDescent="0.25">
      <c r="A30" s="3">
        <v>45824</v>
      </c>
      <c r="B30" s="7">
        <v>5090.7299999999996</v>
      </c>
      <c r="C30" s="7">
        <v>24115.15</v>
      </c>
      <c r="D30" s="4">
        <v>4793.8999999999996</v>
      </c>
      <c r="E30" s="4">
        <v>1012.38</v>
      </c>
      <c r="F30" s="4">
        <v>1014.69</v>
      </c>
      <c r="G30" s="4"/>
      <c r="H30" s="4"/>
      <c r="I30" s="6">
        <f t="shared" si="0"/>
        <v>36026.85</v>
      </c>
      <c r="J30" s="4">
        <f t="shared" si="79"/>
        <v>3.1699999999991633</v>
      </c>
      <c r="K30" s="4">
        <f t="shared" si="80"/>
        <v>13.170000000001892</v>
      </c>
      <c r="L30" s="4">
        <f t="shared" ref="L30" si="84">D30-D29</f>
        <v>2.7199999999993452</v>
      </c>
      <c r="M30" s="4">
        <f t="shared" ref="M30" si="85">E30-E29</f>
        <v>0.51999999999998181</v>
      </c>
      <c r="N30" s="4">
        <f t="shared" ref="N30" si="86">F30-F29</f>
        <v>0.62000000000000455</v>
      </c>
      <c r="O30" s="4"/>
      <c r="P30" s="4"/>
      <c r="Q30" s="26">
        <f t="shared" ref="Q30:Q32" si="87">SUM(J30:N30)</f>
        <v>20.200000000000387</v>
      </c>
    </row>
    <row r="31" spans="1:17" x14ac:dyDescent="0.25">
      <c r="A31" s="3">
        <v>45825</v>
      </c>
      <c r="B31" s="7">
        <v>5093.92</v>
      </c>
      <c r="C31" s="4">
        <v>24128.22</v>
      </c>
      <c r="D31" s="4">
        <v>4796.59</v>
      </c>
      <c r="E31" s="4">
        <v>1012.9</v>
      </c>
      <c r="F31" s="4">
        <v>1015.31</v>
      </c>
      <c r="G31" s="4"/>
      <c r="H31" s="4"/>
      <c r="I31" s="6">
        <f t="shared" si="0"/>
        <v>36046.939999999995</v>
      </c>
      <c r="J31" s="4">
        <f t="shared" ref="J31:J32" si="88">B31-B30</f>
        <v>3.1900000000005093</v>
      </c>
      <c r="K31" s="4">
        <f t="shared" ref="K31" si="89">C31-C30</f>
        <v>13.069999999999709</v>
      </c>
      <c r="L31" s="4">
        <f t="shared" ref="L31" si="90">D31-D30</f>
        <v>2.6900000000005093</v>
      </c>
      <c r="M31" s="4">
        <f t="shared" ref="M31" si="91">E31-E30</f>
        <v>0.51999999999998181</v>
      </c>
      <c r="N31" s="4">
        <f t="shared" ref="N31" si="92">F31-F30</f>
        <v>0.61999999999989086</v>
      </c>
      <c r="O31" s="4"/>
      <c r="P31" s="4"/>
      <c r="Q31" s="26">
        <f t="shared" si="87"/>
        <v>20.0900000000006</v>
      </c>
    </row>
    <row r="32" spans="1:17" x14ac:dyDescent="0.25">
      <c r="A32" s="3">
        <v>45826</v>
      </c>
      <c r="B32" s="7">
        <v>5096.09</v>
      </c>
      <c r="C32" s="7">
        <v>24141.29</v>
      </c>
      <c r="D32" s="4">
        <v>4799.3</v>
      </c>
      <c r="E32" s="4">
        <v>1013.42</v>
      </c>
      <c r="F32" s="4">
        <v>1015.92</v>
      </c>
      <c r="G32" s="4"/>
      <c r="H32" s="4"/>
      <c r="I32" s="6">
        <f t="shared" si="0"/>
        <v>36066.019999999997</v>
      </c>
      <c r="J32" s="39">
        <f t="shared" si="88"/>
        <v>2.1700000000000728</v>
      </c>
      <c r="K32" s="4">
        <f t="shared" ref="K32" si="93">C32-C31</f>
        <v>13.069999999999709</v>
      </c>
      <c r="L32" s="4">
        <f t="shared" ref="L32" si="94">D32-D31</f>
        <v>2.7100000000000364</v>
      </c>
      <c r="M32" s="4">
        <f t="shared" ref="M32" si="95">E32-E31</f>
        <v>0.51999999999998181</v>
      </c>
      <c r="N32" s="4">
        <f t="shared" ref="N32" si="96">F32-F31</f>
        <v>0.61000000000001364</v>
      </c>
      <c r="O32" s="4"/>
      <c r="P32" s="4"/>
      <c r="Q32" s="26">
        <f t="shared" si="87"/>
        <v>19.079999999999814</v>
      </c>
    </row>
    <row r="33" spans="1:18" x14ac:dyDescent="0.25">
      <c r="A33" s="10">
        <v>45827</v>
      </c>
      <c r="B33" s="11">
        <v>5096.09</v>
      </c>
      <c r="C33" s="11">
        <v>24141.29</v>
      </c>
      <c r="D33" s="11">
        <v>4799.3</v>
      </c>
      <c r="E33" s="11">
        <v>1013.42</v>
      </c>
      <c r="F33" s="11">
        <v>1015.92</v>
      </c>
      <c r="G33" s="11"/>
      <c r="H33" s="11"/>
      <c r="I33" s="34">
        <f t="shared" si="0"/>
        <v>36066.019999999997</v>
      </c>
      <c r="J33" s="11">
        <f t="shared" ref="J33:J34" si="97">B33-B32</f>
        <v>0</v>
      </c>
      <c r="K33" s="11">
        <f t="shared" ref="K33:K34" si="98">C33-C32</f>
        <v>0</v>
      </c>
      <c r="L33" s="11">
        <f t="shared" ref="L33:L34" si="99">D33-D32</f>
        <v>0</v>
      </c>
      <c r="M33" s="11">
        <f t="shared" ref="M33" si="100">E33-E32</f>
        <v>0</v>
      </c>
      <c r="N33" s="11">
        <f t="shared" ref="N33" si="101">F33-F32</f>
        <v>0</v>
      </c>
      <c r="O33" s="11"/>
      <c r="P33" s="11"/>
      <c r="Q33" s="11"/>
    </row>
    <row r="34" spans="1:18" x14ac:dyDescent="0.25">
      <c r="A34" s="3">
        <v>45828</v>
      </c>
      <c r="B34" s="7">
        <v>5099.2700000000004</v>
      </c>
      <c r="C34" s="7">
        <v>24154.44</v>
      </c>
      <c r="D34" s="4">
        <v>4802.01</v>
      </c>
      <c r="E34" s="4">
        <v>1013.94</v>
      </c>
      <c r="F34" s="4">
        <v>1016.54</v>
      </c>
      <c r="G34" s="4"/>
      <c r="H34" s="4"/>
      <c r="I34" s="6">
        <f t="shared" si="0"/>
        <v>36086.200000000004</v>
      </c>
      <c r="J34" s="4">
        <f t="shared" si="97"/>
        <v>3.180000000000291</v>
      </c>
      <c r="K34" s="4">
        <f t="shared" si="98"/>
        <v>13.149999999997817</v>
      </c>
      <c r="L34" s="4">
        <f t="shared" si="99"/>
        <v>2.7100000000000364</v>
      </c>
      <c r="M34" s="4">
        <f t="shared" ref="M34" si="102">E34-E33</f>
        <v>0.5200000000000955</v>
      </c>
      <c r="N34" s="4">
        <f t="shared" ref="N34" si="103">F34-F33</f>
        <v>0.62000000000000455</v>
      </c>
      <c r="O34" s="4"/>
      <c r="P34" s="4"/>
      <c r="Q34" s="34">
        <f t="shared" ref="Q34" si="104">SUM(J34:N34)</f>
        <v>20.179999999998245</v>
      </c>
    </row>
    <row r="35" spans="1:18" x14ac:dyDescent="0.25">
      <c r="A35" s="10">
        <v>45829</v>
      </c>
      <c r="B35" s="11">
        <v>5099.2700000000004</v>
      </c>
      <c r="C35" s="11">
        <v>24154.44</v>
      </c>
      <c r="D35" s="11">
        <v>4802.01</v>
      </c>
      <c r="E35" s="11">
        <v>1013.94</v>
      </c>
      <c r="F35" s="11">
        <v>1016.54</v>
      </c>
      <c r="G35" s="11"/>
      <c r="H35" s="11"/>
      <c r="I35" s="34">
        <f t="shared" ref="I35:I44" si="105">SUM(B35:F35)</f>
        <v>36086.200000000004</v>
      </c>
      <c r="J35" s="11">
        <f t="shared" ref="J35:J40" si="106">B35-B34</f>
        <v>0</v>
      </c>
      <c r="K35" s="11">
        <f t="shared" ref="K35:K40" si="107">C35-C34</f>
        <v>0</v>
      </c>
      <c r="L35" s="11">
        <f t="shared" ref="L35:L37" si="108">D35-D34</f>
        <v>0</v>
      </c>
      <c r="M35" s="11">
        <f t="shared" ref="M35:M36" si="109">E35-E34</f>
        <v>0</v>
      </c>
      <c r="N35" s="11">
        <f t="shared" ref="N35:N36" si="110">F35-F34</f>
        <v>0</v>
      </c>
      <c r="O35" s="11"/>
      <c r="P35" s="11"/>
      <c r="Q35" s="11"/>
    </row>
    <row r="36" spans="1:18" x14ac:dyDescent="0.25">
      <c r="A36" s="10">
        <v>45830</v>
      </c>
      <c r="B36" s="11">
        <v>5099.2700000000004</v>
      </c>
      <c r="C36" s="11">
        <v>24154.44</v>
      </c>
      <c r="D36" s="11">
        <v>4802.01</v>
      </c>
      <c r="E36" s="11">
        <v>1013.94</v>
      </c>
      <c r="F36" s="11">
        <v>1016.54</v>
      </c>
      <c r="G36" s="11"/>
      <c r="H36" s="11"/>
      <c r="I36" s="34">
        <f t="shared" si="105"/>
        <v>36086.200000000004</v>
      </c>
      <c r="J36" s="11">
        <f t="shared" si="106"/>
        <v>0</v>
      </c>
      <c r="K36" s="11">
        <f t="shared" si="107"/>
        <v>0</v>
      </c>
      <c r="L36" s="11">
        <f t="shared" si="108"/>
        <v>0</v>
      </c>
      <c r="M36" s="11">
        <f t="shared" si="109"/>
        <v>0</v>
      </c>
      <c r="N36" s="11">
        <f t="shared" si="110"/>
        <v>0</v>
      </c>
      <c r="O36" s="11"/>
      <c r="P36" s="11"/>
      <c r="Q36" s="11"/>
    </row>
    <row r="37" spans="1:18" x14ac:dyDescent="0.25">
      <c r="A37" s="3">
        <v>45831</v>
      </c>
      <c r="B37" s="4">
        <v>5102.51</v>
      </c>
      <c r="C37" s="7">
        <v>24167.86</v>
      </c>
      <c r="D37" s="4">
        <v>4804.76</v>
      </c>
      <c r="E37" s="4">
        <v>1014.47</v>
      </c>
      <c r="F37" s="4">
        <v>1017.17</v>
      </c>
      <c r="G37" s="4"/>
      <c r="H37" s="4"/>
      <c r="I37" s="6">
        <f t="shared" si="105"/>
        <v>36106.770000000004</v>
      </c>
      <c r="J37" s="4">
        <f t="shared" si="106"/>
        <v>3.2399999999997817</v>
      </c>
      <c r="K37" s="4">
        <f t="shared" si="107"/>
        <v>13.420000000001892</v>
      </c>
      <c r="L37" s="4">
        <f t="shared" si="108"/>
        <v>2.75</v>
      </c>
      <c r="M37" s="4">
        <f t="shared" ref="M37" si="111">E37-E36</f>
        <v>0.52999999999997272</v>
      </c>
      <c r="N37" s="4">
        <f t="shared" ref="N37" si="112">F37-F36</f>
        <v>0.62999999999999545</v>
      </c>
      <c r="O37" s="4"/>
      <c r="P37" s="4"/>
      <c r="Q37" s="34">
        <f t="shared" ref="Q37:Q41" si="113">SUM(J37:N37)</f>
        <v>20.570000000001642</v>
      </c>
    </row>
    <row r="38" spans="1:18" x14ac:dyDescent="0.25">
      <c r="A38" s="3">
        <v>45832</v>
      </c>
      <c r="B38" s="4">
        <v>5105.75</v>
      </c>
      <c r="C38" s="7">
        <v>24180.880000000001</v>
      </c>
      <c r="D38" s="4">
        <v>4807.5200000000004</v>
      </c>
      <c r="E38" s="4">
        <v>1015</v>
      </c>
      <c r="F38" s="4">
        <v>1017.8</v>
      </c>
      <c r="G38" s="4"/>
      <c r="H38" s="4"/>
      <c r="I38" s="6">
        <f t="shared" si="105"/>
        <v>36126.950000000004</v>
      </c>
      <c r="J38" s="4">
        <f t="shared" si="106"/>
        <v>3.2399999999997817</v>
      </c>
      <c r="K38" s="4">
        <f t="shared" si="107"/>
        <v>13.020000000000437</v>
      </c>
      <c r="L38" s="4">
        <f t="shared" ref="L38" si="114">D38-D37</f>
        <v>2.7600000000002183</v>
      </c>
      <c r="M38" s="4">
        <f t="shared" ref="M38" si="115">E38-E37</f>
        <v>0.52999999999997272</v>
      </c>
      <c r="N38" s="4">
        <f t="shared" ref="N38" si="116">F38-F37</f>
        <v>0.62999999999999545</v>
      </c>
      <c r="O38" s="4"/>
      <c r="P38" s="4"/>
      <c r="Q38" s="34">
        <f t="shared" si="113"/>
        <v>20.180000000000405</v>
      </c>
    </row>
    <row r="39" spans="1:18" x14ac:dyDescent="0.25">
      <c r="A39" s="3">
        <v>45833</v>
      </c>
      <c r="B39" s="4">
        <v>5108.9799999999996</v>
      </c>
      <c r="C39" s="7">
        <v>24193.93</v>
      </c>
      <c r="D39" s="4">
        <v>4810.2700000000004</v>
      </c>
      <c r="E39" s="4">
        <v>1015.52</v>
      </c>
      <c r="F39" s="4">
        <v>1018.42</v>
      </c>
      <c r="G39" s="4"/>
      <c r="H39" s="4"/>
      <c r="I39" s="6">
        <f t="shared" si="105"/>
        <v>36147.119999999995</v>
      </c>
      <c r="J39" s="4">
        <f t="shared" si="106"/>
        <v>3.2299999999995634</v>
      </c>
      <c r="K39" s="4">
        <f t="shared" si="107"/>
        <v>13.049999999999272</v>
      </c>
      <c r="L39" s="4">
        <f t="shared" ref="L39" si="117">D39-D38</f>
        <v>2.75</v>
      </c>
      <c r="M39" s="4">
        <f t="shared" ref="M39" si="118">E39-E38</f>
        <v>0.51999999999998181</v>
      </c>
      <c r="N39" s="4">
        <f t="shared" ref="N39" si="119">F39-F38</f>
        <v>0.62000000000000455</v>
      </c>
      <c r="O39" s="4"/>
      <c r="P39" s="4"/>
      <c r="Q39" s="34">
        <f t="shared" si="113"/>
        <v>20.169999999998822</v>
      </c>
    </row>
    <row r="40" spans="1:18" x14ac:dyDescent="0.25">
      <c r="A40" s="3">
        <v>45834</v>
      </c>
      <c r="B40" s="4">
        <v>5112.22</v>
      </c>
      <c r="C40" s="7">
        <v>24207.18</v>
      </c>
      <c r="D40" s="4">
        <v>4813.0200000000004</v>
      </c>
      <c r="E40" s="4">
        <v>1016.05</v>
      </c>
      <c r="F40" s="4">
        <v>1019.05</v>
      </c>
      <c r="G40" s="4"/>
      <c r="H40" s="4"/>
      <c r="I40" s="6">
        <f t="shared" si="105"/>
        <v>36167.520000000004</v>
      </c>
      <c r="J40" s="4">
        <f t="shared" si="106"/>
        <v>3.2400000000006912</v>
      </c>
      <c r="K40" s="4">
        <f t="shared" si="107"/>
        <v>13.25</v>
      </c>
      <c r="L40" s="4">
        <f t="shared" ref="L40" si="120">D40-D39</f>
        <v>2.75</v>
      </c>
      <c r="M40" s="4">
        <f t="shared" ref="M40" si="121">E40-E39</f>
        <v>0.52999999999997272</v>
      </c>
      <c r="N40" s="4">
        <f t="shared" ref="N40" si="122">F40-F39</f>
        <v>0.62999999999999545</v>
      </c>
      <c r="O40" s="4"/>
      <c r="P40" s="4"/>
      <c r="Q40" s="34">
        <f t="shared" si="113"/>
        <v>20.400000000000659</v>
      </c>
      <c r="R40" s="40"/>
    </row>
    <row r="41" spans="1:18" x14ac:dyDescent="0.25">
      <c r="A41" s="8">
        <v>45835</v>
      </c>
      <c r="B41" s="7">
        <v>5115.46</v>
      </c>
      <c r="C41" s="7">
        <v>24220.38</v>
      </c>
      <c r="D41" s="7">
        <v>4815.78</v>
      </c>
      <c r="E41" s="7">
        <v>1016.58</v>
      </c>
      <c r="F41" s="7">
        <v>1019.68</v>
      </c>
      <c r="G41" s="7"/>
      <c r="H41" s="7"/>
      <c r="I41" s="6">
        <f t="shared" si="105"/>
        <v>36187.880000000005</v>
      </c>
      <c r="J41" s="4">
        <f t="shared" ref="J41" si="123">B41-B40</f>
        <v>3.2399999999997817</v>
      </c>
      <c r="K41" s="4">
        <f t="shared" ref="K41" si="124">C41-C40</f>
        <v>13.200000000000728</v>
      </c>
      <c r="L41" s="7">
        <f t="shared" ref="L41" si="125">D41-D40</f>
        <v>2.7599999999993088</v>
      </c>
      <c r="M41" s="7">
        <f t="shared" ref="M41" si="126">E41-E40</f>
        <v>0.5300000000000864</v>
      </c>
      <c r="N41" s="7">
        <f t="shared" ref="N41" si="127">F41-F40</f>
        <v>0.62999999999999545</v>
      </c>
      <c r="O41" s="7"/>
      <c r="P41" s="7"/>
      <c r="Q41" s="34">
        <f t="shared" si="113"/>
        <v>20.3599999999999</v>
      </c>
    </row>
    <row r="42" spans="1:18" x14ac:dyDescent="0.25">
      <c r="A42" s="10">
        <v>45836</v>
      </c>
      <c r="B42" s="11">
        <v>5115.46</v>
      </c>
      <c r="C42" s="11">
        <v>24220.38</v>
      </c>
      <c r="D42" s="11">
        <v>4815.78</v>
      </c>
      <c r="E42" s="11">
        <v>1016.58</v>
      </c>
      <c r="F42" s="11">
        <v>1019.68</v>
      </c>
      <c r="G42" s="11"/>
      <c r="H42" s="11"/>
      <c r="I42" s="34">
        <f t="shared" si="105"/>
        <v>36187.880000000005</v>
      </c>
      <c r="J42" s="11">
        <f t="shared" ref="J42:J43" si="128">B42-B41</f>
        <v>0</v>
      </c>
      <c r="K42" s="11">
        <f t="shared" ref="K42:K44" si="129">C42-C41</f>
        <v>0</v>
      </c>
      <c r="L42" s="11">
        <f t="shared" ref="L42:L43" si="130">D42-D41</f>
        <v>0</v>
      </c>
      <c r="M42" s="11">
        <f t="shared" ref="M42:M43" si="131">E42-E41</f>
        <v>0</v>
      </c>
      <c r="N42" s="11">
        <f t="shared" ref="N42:N43" si="132">F42-F41</f>
        <v>0</v>
      </c>
      <c r="O42" s="11"/>
      <c r="P42" s="11"/>
      <c r="Q42" s="11"/>
    </row>
    <row r="43" spans="1:18" x14ac:dyDescent="0.25">
      <c r="A43" s="10">
        <v>45837</v>
      </c>
      <c r="B43" s="11">
        <v>5115.46</v>
      </c>
      <c r="C43" s="11">
        <v>24220.38</v>
      </c>
      <c r="D43" s="11">
        <v>4815.78</v>
      </c>
      <c r="E43" s="11">
        <v>1016.58</v>
      </c>
      <c r="F43" s="11">
        <v>1019.68</v>
      </c>
      <c r="G43" s="11"/>
      <c r="H43" s="11"/>
      <c r="I43" s="34">
        <f t="shared" si="105"/>
        <v>36187.880000000005</v>
      </c>
      <c r="J43" s="11">
        <f t="shared" si="128"/>
        <v>0</v>
      </c>
      <c r="K43" s="11">
        <f t="shared" si="129"/>
        <v>0</v>
      </c>
      <c r="L43" s="11">
        <f t="shared" si="130"/>
        <v>0</v>
      </c>
      <c r="M43" s="11">
        <f t="shared" si="131"/>
        <v>0</v>
      </c>
      <c r="N43" s="11">
        <f t="shared" si="132"/>
        <v>0</v>
      </c>
      <c r="O43" s="11"/>
      <c r="P43" s="11"/>
      <c r="Q43" s="11"/>
    </row>
    <row r="44" spans="1:18" x14ac:dyDescent="0.25">
      <c r="A44" s="8">
        <v>45838</v>
      </c>
      <c r="B44" s="7">
        <v>5118.7</v>
      </c>
      <c r="C44" s="7">
        <v>24233.47</v>
      </c>
      <c r="D44" s="7">
        <v>4818.57</v>
      </c>
      <c r="E44" s="7">
        <v>1017.11</v>
      </c>
      <c r="F44" s="7">
        <v>1020.31</v>
      </c>
      <c r="G44" s="7"/>
      <c r="H44" s="7"/>
      <c r="I44" s="6">
        <f t="shared" si="105"/>
        <v>36208.160000000003</v>
      </c>
      <c r="J44" s="7">
        <f t="shared" ref="J44" si="133">B44-B43</f>
        <v>3.2399999999997817</v>
      </c>
      <c r="K44" s="7">
        <f t="shared" si="129"/>
        <v>13.090000000000146</v>
      </c>
      <c r="L44" s="7">
        <f t="shared" ref="L44" si="134">D44-D43</f>
        <v>2.7899999999999636</v>
      </c>
      <c r="M44" s="7">
        <f t="shared" ref="M44" si="135">E44-E43</f>
        <v>0.52999999999997272</v>
      </c>
      <c r="N44" s="7">
        <f t="shared" ref="N44" si="136">F44-F43</f>
        <v>0.62999999999999545</v>
      </c>
      <c r="O44" s="7"/>
      <c r="P44" s="7"/>
      <c r="Q44" s="34">
        <f t="shared" ref="Q44" si="137">SUM(J44:N44)</f>
        <v>20.279999999999859</v>
      </c>
    </row>
    <row r="45" spans="1:18" customFormat="1" x14ac:dyDescent="0.25">
      <c r="A45" s="5" t="s">
        <v>6</v>
      </c>
      <c r="B45" s="9"/>
      <c r="C45" s="9"/>
      <c r="D45" s="9"/>
      <c r="E45" s="9"/>
      <c r="F45" s="9"/>
      <c r="G45" s="9"/>
      <c r="H45" s="9"/>
      <c r="I45" s="9"/>
      <c r="J45" s="6">
        <f>SUM(J15:J44)</f>
        <v>59.630000000000109</v>
      </c>
      <c r="K45" s="6">
        <f t="shared" ref="K45:Q45" si="138">SUM(K15:K44)</f>
        <v>251.65000000000146</v>
      </c>
      <c r="L45" s="6">
        <f t="shared" si="138"/>
        <v>51.649999999999636</v>
      </c>
      <c r="M45" s="6">
        <f t="shared" si="138"/>
        <v>9.9099999999999682</v>
      </c>
      <c r="N45" s="6">
        <f t="shared" si="138"/>
        <v>11.769999999999982</v>
      </c>
      <c r="O45" s="6"/>
      <c r="P45" s="6"/>
      <c r="Q45" s="6">
        <f t="shared" si="138"/>
        <v>384.61000000000115</v>
      </c>
    </row>
    <row r="46" spans="1:18" x14ac:dyDescent="0.25">
      <c r="I46" s="1"/>
      <c r="J46" s="44">
        <f>J45/B15</f>
        <v>1.1786751319906646E-2</v>
      </c>
      <c r="K46" s="44">
        <f>K45/C15</f>
        <v>1.0493365390950372E-2</v>
      </c>
      <c r="L46" s="44">
        <f>L45/D15</f>
        <v>1.0835088484807723E-2</v>
      </c>
      <c r="M46" s="44">
        <f>M45/E15</f>
        <v>9.8391580619538992E-3</v>
      </c>
      <c r="N46" s="44">
        <f>N45/F15</f>
        <v>1.1670335336228591E-2</v>
      </c>
      <c r="O46" s="44"/>
      <c r="P46" s="44"/>
      <c r="Q46" s="44">
        <f t="shared" ref="Q46" si="139">Q45/I15</f>
        <v>1.0736233567025077E-2</v>
      </c>
    </row>
    <row r="48" spans="1:18" x14ac:dyDescent="0.25">
      <c r="A48" s="8">
        <v>45838</v>
      </c>
      <c r="B48" s="7">
        <v>5118.7</v>
      </c>
      <c r="C48" s="7">
        <v>24233.47</v>
      </c>
      <c r="D48" s="7">
        <v>4818.57</v>
      </c>
      <c r="E48" s="7">
        <v>1017.11</v>
      </c>
      <c r="F48" s="7">
        <v>1020.31</v>
      </c>
      <c r="G48" s="7"/>
      <c r="H48" s="7"/>
      <c r="I48" s="6">
        <f t="shared" ref="I48:I52" si="140">SUM(B48:F48)</f>
        <v>36208.160000000003</v>
      </c>
      <c r="J48" s="7"/>
      <c r="K48" s="7"/>
      <c r="L48" s="7"/>
      <c r="M48" s="7"/>
      <c r="N48" s="7"/>
      <c r="O48" s="7"/>
      <c r="P48" s="7"/>
      <c r="Q48" s="7"/>
    </row>
    <row r="49" spans="1:18" x14ac:dyDescent="0.25">
      <c r="A49" s="8">
        <v>45839</v>
      </c>
      <c r="B49" s="7">
        <v>5121.9399999999996</v>
      </c>
      <c r="C49" s="7">
        <v>24246.97</v>
      </c>
      <c r="D49" s="7">
        <v>4821.33</v>
      </c>
      <c r="E49" s="7">
        <v>1017.64</v>
      </c>
      <c r="F49" s="7">
        <v>1020.94</v>
      </c>
      <c r="G49" s="7"/>
      <c r="H49" s="7"/>
      <c r="I49" s="6">
        <f t="shared" si="140"/>
        <v>36228.82</v>
      </c>
      <c r="J49" s="7">
        <f t="shared" ref="J49:J50" si="141">B49-B48</f>
        <v>3.2399999999997817</v>
      </c>
      <c r="K49" s="7">
        <f t="shared" ref="K49:K50" si="142">C49-C48</f>
        <v>13.5</v>
      </c>
      <c r="L49" s="7">
        <f t="shared" ref="L49" si="143">D49-D48</f>
        <v>2.7600000000002183</v>
      </c>
      <c r="M49" s="7">
        <f t="shared" ref="M49" si="144">E49-E48</f>
        <v>0.52999999999997272</v>
      </c>
      <c r="N49" s="7">
        <f t="shared" ref="N49" si="145">F49-F48</f>
        <v>0.63000000000010914</v>
      </c>
      <c r="O49" s="7"/>
      <c r="P49" s="7"/>
      <c r="Q49" s="34">
        <f t="shared" ref="Q49:Q50" si="146">SUM(J49:N49)</f>
        <v>20.660000000000082</v>
      </c>
      <c r="R49" s="26">
        <f>AVERAGE(Q49:Q79)</f>
        <v>21.034347826086968</v>
      </c>
    </row>
    <row r="50" spans="1:18" x14ac:dyDescent="0.25">
      <c r="A50" s="8">
        <v>45840</v>
      </c>
      <c r="B50" s="7">
        <v>5125.1899999999996</v>
      </c>
      <c r="C50" s="7">
        <v>24260.47</v>
      </c>
      <c r="D50" s="7">
        <v>4824.08</v>
      </c>
      <c r="E50" s="7">
        <v>1018.17</v>
      </c>
      <c r="F50" s="7">
        <v>1021.57</v>
      </c>
      <c r="G50" s="7"/>
      <c r="H50" s="7"/>
      <c r="I50" s="6">
        <f t="shared" si="140"/>
        <v>36249.479999999996</v>
      </c>
      <c r="J50" s="7">
        <f t="shared" si="141"/>
        <v>3.25</v>
      </c>
      <c r="K50" s="7">
        <f t="shared" si="142"/>
        <v>13.5</v>
      </c>
      <c r="L50" s="7">
        <f t="shared" ref="L50" si="147">D50-D49</f>
        <v>2.75</v>
      </c>
      <c r="M50" s="7">
        <f t="shared" ref="M50" si="148">E50-E49</f>
        <v>0.52999999999997272</v>
      </c>
      <c r="N50" s="7">
        <f t="shared" ref="N50" si="149">F50-F49</f>
        <v>0.62999999999999545</v>
      </c>
      <c r="O50" s="7"/>
      <c r="P50" s="7"/>
      <c r="Q50" s="34">
        <f t="shared" si="146"/>
        <v>20.659999999999968</v>
      </c>
      <c r="R50" s="40"/>
    </row>
    <row r="51" spans="1:18" x14ac:dyDescent="0.25">
      <c r="A51" s="8">
        <v>45841</v>
      </c>
      <c r="B51" s="7">
        <v>5128.45</v>
      </c>
      <c r="C51" s="7">
        <v>24274.49</v>
      </c>
      <c r="D51" s="7">
        <v>4826.84</v>
      </c>
      <c r="E51" s="7">
        <v>1018.7</v>
      </c>
      <c r="F51" s="7">
        <v>1022.2</v>
      </c>
      <c r="G51" s="7"/>
      <c r="H51" s="7"/>
      <c r="I51" s="6">
        <f t="shared" si="140"/>
        <v>36270.679999999993</v>
      </c>
      <c r="J51" s="7">
        <f t="shared" ref="J51" si="150">B51-B50</f>
        <v>3.2600000000002183</v>
      </c>
      <c r="K51" s="7">
        <f t="shared" ref="K51" si="151">C51-C50</f>
        <v>14.020000000000437</v>
      </c>
      <c r="L51" s="7">
        <f t="shared" ref="L51" si="152">D51-D50</f>
        <v>2.7600000000002183</v>
      </c>
      <c r="M51" s="7">
        <f t="shared" ref="M51" si="153">E51-E50</f>
        <v>0.5300000000000864</v>
      </c>
      <c r="N51" s="7">
        <f t="shared" ref="N51" si="154">F51-F50</f>
        <v>0.62999999999999545</v>
      </c>
      <c r="O51" s="7"/>
      <c r="P51" s="7"/>
      <c r="Q51" s="34">
        <f t="shared" ref="Q51:Q52" si="155">SUM(J51:N51)</f>
        <v>21.200000000000955</v>
      </c>
      <c r="R51" s="40"/>
    </row>
    <row r="52" spans="1:18" x14ac:dyDescent="0.25">
      <c r="A52" s="8">
        <v>45842</v>
      </c>
      <c r="B52" s="7">
        <v>5131.7</v>
      </c>
      <c r="C52" s="7">
        <v>24287.46</v>
      </c>
      <c r="D52" s="7">
        <v>4829.62</v>
      </c>
      <c r="E52" s="7">
        <v>1019.23</v>
      </c>
      <c r="F52" s="7">
        <v>1022.83</v>
      </c>
      <c r="G52" s="7"/>
      <c r="H52" s="7"/>
      <c r="I52" s="6">
        <f t="shared" si="140"/>
        <v>36290.840000000004</v>
      </c>
      <c r="J52" s="7">
        <f t="shared" ref="J52" si="156">B52-B51</f>
        <v>3.25</v>
      </c>
      <c r="K52" s="7">
        <f t="shared" ref="K52" si="157">C52-C51</f>
        <v>12.969999999997526</v>
      </c>
      <c r="L52" s="7">
        <f t="shared" ref="L52" si="158">D52-D51</f>
        <v>2.7799999999997453</v>
      </c>
      <c r="M52" s="7">
        <f t="shared" ref="M52" si="159">E52-E51</f>
        <v>0.52999999999997272</v>
      </c>
      <c r="N52" s="7">
        <f t="shared" ref="N52" si="160">F52-F51</f>
        <v>0.62999999999999545</v>
      </c>
      <c r="O52" s="7"/>
      <c r="P52" s="7"/>
      <c r="Q52" s="34">
        <f t="shared" si="155"/>
        <v>20.15999999999724</v>
      </c>
      <c r="R52" s="40"/>
    </row>
    <row r="53" spans="1:18" x14ac:dyDescent="0.25">
      <c r="A53" s="10">
        <v>45843</v>
      </c>
      <c r="B53" s="11">
        <v>5131.7</v>
      </c>
      <c r="C53" s="11">
        <v>24287.46</v>
      </c>
      <c r="D53" s="11">
        <v>4829.62</v>
      </c>
      <c r="E53" s="11">
        <v>1019.23</v>
      </c>
      <c r="F53" s="11">
        <v>1022.83</v>
      </c>
      <c r="G53" s="11"/>
      <c r="H53" s="11"/>
      <c r="I53" s="34">
        <f t="shared" ref="I53" si="161">SUM(B53:F53)</f>
        <v>36290.840000000004</v>
      </c>
      <c r="J53" s="11">
        <f t="shared" ref="J53:J59" si="162">B53-B52</f>
        <v>0</v>
      </c>
      <c r="K53" s="11">
        <f t="shared" ref="K53:K54" si="163">C53-C52</f>
        <v>0</v>
      </c>
      <c r="L53" s="11">
        <f t="shared" ref="L53:L54" si="164">D53-D52</f>
        <v>0</v>
      </c>
      <c r="M53" s="11">
        <f t="shared" ref="M53:M54" si="165">E53-E52</f>
        <v>0</v>
      </c>
      <c r="N53" s="11">
        <f t="shared" ref="N53:N54" si="166">F53-F52</f>
        <v>0</v>
      </c>
      <c r="O53" s="11"/>
      <c r="P53" s="11"/>
      <c r="Q53" s="11"/>
      <c r="R53" s="40"/>
    </row>
    <row r="54" spans="1:18" x14ac:dyDescent="0.25">
      <c r="A54" s="10">
        <v>45844</v>
      </c>
      <c r="B54" s="11">
        <v>5131.7</v>
      </c>
      <c r="C54" s="11">
        <v>24287.46</v>
      </c>
      <c r="D54" s="11">
        <v>4829.62</v>
      </c>
      <c r="E54" s="11">
        <v>1019.23</v>
      </c>
      <c r="F54" s="11">
        <v>1022.83</v>
      </c>
      <c r="G54" s="11"/>
      <c r="H54" s="11"/>
      <c r="I54" s="34">
        <f t="shared" ref="I54:I59" si="167">SUM(B54:F54)</f>
        <v>36290.840000000004</v>
      </c>
      <c r="J54" s="11">
        <f t="shared" si="162"/>
        <v>0</v>
      </c>
      <c r="K54" s="11">
        <f t="shared" si="163"/>
        <v>0</v>
      </c>
      <c r="L54" s="11">
        <f t="shared" si="164"/>
        <v>0</v>
      </c>
      <c r="M54" s="11">
        <f t="shared" si="165"/>
        <v>0</v>
      </c>
      <c r="N54" s="11">
        <f t="shared" si="166"/>
        <v>0</v>
      </c>
      <c r="O54" s="11"/>
      <c r="P54" s="11"/>
      <c r="Q54" s="11"/>
      <c r="R54" s="40"/>
    </row>
    <row r="55" spans="1:18" x14ac:dyDescent="0.25">
      <c r="A55" s="8">
        <v>45845</v>
      </c>
      <c r="B55" s="4">
        <v>5134.95</v>
      </c>
      <c r="C55" s="4">
        <v>24300.95</v>
      </c>
      <c r="D55" s="4">
        <v>4832.3900000000003</v>
      </c>
      <c r="E55" s="4">
        <v>1019.76</v>
      </c>
      <c r="F55" s="4">
        <v>1023.47</v>
      </c>
      <c r="G55" s="4"/>
      <c r="H55" s="4"/>
      <c r="I55" s="6">
        <f t="shared" si="167"/>
        <v>36311.520000000004</v>
      </c>
      <c r="J55" s="4">
        <f t="shared" si="162"/>
        <v>3.25</v>
      </c>
      <c r="K55" s="4">
        <f t="shared" ref="K55:K59" si="168">C55-C54</f>
        <v>13.490000000001601</v>
      </c>
      <c r="L55" s="4">
        <f t="shared" ref="L55" si="169">D55-D54</f>
        <v>2.7700000000004366</v>
      </c>
      <c r="M55" s="4">
        <f t="shared" ref="M55" si="170">E55-E54</f>
        <v>0.52999999999997272</v>
      </c>
      <c r="N55" s="4">
        <f t="shared" ref="N55" si="171">F55-F54</f>
        <v>0.63999999999998636</v>
      </c>
      <c r="O55" s="4"/>
      <c r="P55" s="4"/>
      <c r="Q55" s="34">
        <f t="shared" ref="Q55:Q59" si="172">SUM(J55:N55)</f>
        <v>20.680000000001996</v>
      </c>
      <c r="R55" s="40"/>
    </row>
    <row r="56" spans="1:18" x14ac:dyDescent="0.25">
      <c r="A56" s="8">
        <v>45846</v>
      </c>
      <c r="B56" s="4">
        <v>5138.21</v>
      </c>
      <c r="C56" s="4">
        <v>24313.86</v>
      </c>
      <c r="D56" s="4">
        <v>4835.1499999999996</v>
      </c>
      <c r="E56" s="4">
        <v>1020.3</v>
      </c>
      <c r="F56" s="4">
        <v>1024.0999999999999</v>
      </c>
      <c r="G56" s="4"/>
      <c r="H56" s="4"/>
      <c r="I56" s="6">
        <f t="shared" si="167"/>
        <v>36331.620000000003</v>
      </c>
      <c r="J56" s="4">
        <f t="shared" si="162"/>
        <v>3.2600000000002183</v>
      </c>
      <c r="K56" s="4">
        <f t="shared" si="168"/>
        <v>12.909999999999854</v>
      </c>
      <c r="L56" s="4">
        <f t="shared" ref="L56" si="173">D56-D55</f>
        <v>2.7599999999993088</v>
      </c>
      <c r="M56" s="4">
        <f t="shared" ref="M56" si="174">E56-E55</f>
        <v>0.53999999999996362</v>
      </c>
      <c r="N56" s="4">
        <f t="shared" ref="N56" si="175">F56-F55</f>
        <v>0.62999999999988177</v>
      </c>
      <c r="O56" s="4"/>
      <c r="P56" s="4"/>
      <c r="Q56" s="34">
        <f t="shared" si="172"/>
        <v>20.099999999999227</v>
      </c>
      <c r="R56" s="40"/>
    </row>
    <row r="57" spans="1:18" x14ac:dyDescent="0.25">
      <c r="A57" s="8">
        <v>45847</v>
      </c>
      <c r="B57" s="4">
        <v>5141.46</v>
      </c>
      <c r="C57" s="4">
        <v>24327.26</v>
      </c>
      <c r="D57" s="4">
        <v>4837.93</v>
      </c>
      <c r="E57" s="4">
        <v>1021.36</v>
      </c>
      <c r="F57" s="4">
        <v>1025.3599999999999</v>
      </c>
      <c r="G57" s="4"/>
      <c r="H57" s="4"/>
      <c r="I57" s="6">
        <f t="shared" si="167"/>
        <v>36353.369999999995</v>
      </c>
      <c r="J57" s="4">
        <f t="shared" si="162"/>
        <v>3.25</v>
      </c>
      <c r="K57" s="4">
        <f t="shared" si="168"/>
        <v>13.399999999997817</v>
      </c>
      <c r="L57" s="4">
        <f t="shared" ref="L57" si="176">D57-D56</f>
        <v>2.7800000000006548</v>
      </c>
      <c r="M57" s="4">
        <f t="shared" ref="M57" si="177">E57-E56</f>
        <v>1.0600000000000591</v>
      </c>
      <c r="N57" s="4">
        <f t="shared" ref="N57" si="178">F57-F56</f>
        <v>1.2599999999999909</v>
      </c>
      <c r="O57" s="4"/>
      <c r="P57" s="4"/>
      <c r="Q57" s="34">
        <f t="shared" si="172"/>
        <v>21.749999999998522</v>
      </c>
      <c r="R57" s="40"/>
    </row>
    <row r="58" spans="1:18" x14ac:dyDescent="0.25">
      <c r="A58" s="3">
        <v>45848</v>
      </c>
      <c r="B58" s="4">
        <v>5144.72</v>
      </c>
      <c r="C58" s="4">
        <v>24340.95</v>
      </c>
      <c r="D58" s="4">
        <v>4840.7</v>
      </c>
      <c r="E58" s="4">
        <v>1021.89</v>
      </c>
      <c r="F58" s="4">
        <v>1026</v>
      </c>
      <c r="G58" s="4"/>
      <c r="H58" s="4"/>
      <c r="I58" s="6">
        <f t="shared" si="167"/>
        <v>36374.26</v>
      </c>
      <c r="J58" s="4">
        <f t="shared" si="162"/>
        <v>3.2600000000002183</v>
      </c>
      <c r="K58" s="4">
        <f t="shared" si="168"/>
        <v>13.690000000002328</v>
      </c>
      <c r="L58" s="4">
        <f t="shared" ref="L58" si="179">D58-D57</f>
        <v>2.7699999999995271</v>
      </c>
      <c r="M58" s="4">
        <f t="shared" ref="M58" si="180">E58-E57</f>
        <v>0.52999999999997272</v>
      </c>
      <c r="N58" s="4">
        <f t="shared" ref="N58" si="181">F58-F57</f>
        <v>0.64000000000010004</v>
      </c>
      <c r="O58" s="4"/>
      <c r="P58" s="4"/>
      <c r="Q58" s="34">
        <f t="shared" si="172"/>
        <v>20.890000000002146</v>
      </c>
      <c r="R58" s="40"/>
    </row>
    <row r="59" spans="1:18" x14ac:dyDescent="0.25">
      <c r="A59" s="3">
        <v>45849</v>
      </c>
      <c r="B59" s="4">
        <v>5147.99</v>
      </c>
      <c r="C59" s="4">
        <v>24354.5</v>
      </c>
      <c r="D59" s="4">
        <v>4843.4799999999996</v>
      </c>
      <c r="E59" s="4">
        <v>1022.42</v>
      </c>
      <c r="F59" s="4">
        <v>1026.6300000000001</v>
      </c>
      <c r="G59" s="4"/>
      <c r="H59" s="4"/>
      <c r="I59" s="6">
        <f t="shared" si="167"/>
        <v>36395.019999999997</v>
      </c>
      <c r="J59" s="4">
        <f t="shared" si="162"/>
        <v>3.2699999999995271</v>
      </c>
      <c r="K59" s="4">
        <f t="shared" si="168"/>
        <v>13.549999999999272</v>
      </c>
      <c r="L59" s="4">
        <f t="shared" ref="L59" si="182">D59-D58</f>
        <v>2.7799999999997453</v>
      </c>
      <c r="M59" s="4">
        <f t="shared" ref="M59" si="183">E59-E58</f>
        <v>0.52999999999997272</v>
      </c>
      <c r="N59" s="4">
        <f t="shared" ref="N59" si="184">F59-F58</f>
        <v>0.63000000000010914</v>
      </c>
      <c r="O59" s="4"/>
      <c r="P59" s="4"/>
      <c r="Q59" s="34">
        <f t="shared" si="172"/>
        <v>20.759999999998627</v>
      </c>
      <c r="R59" s="40"/>
    </row>
    <row r="60" spans="1:18" x14ac:dyDescent="0.25">
      <c r="A60" s="10">
        <v>45850</v>
      </c>
      <c r="B60" s="11">
        <v>5147.99</v>
      </c>
      <c r="C60" s="11">
        <v>24354.5</v>
      </c>
      <c r="D60" s="11">
        <v>4843.4799999999996</v>
      </c>
      <c r="E60" s="11">
        <v>1022.42</v>
      </c>
      <c r="F60" s="11">
        <v>1026.6300000000001</v>
      </c>
      <c r="G60" s="11"/>
      <c r="H60" s="11"/>
      <c r="I60" s="34">
        <f t="shared" ref="I60:I62" si="185">SUM(B60:F60)</f>
        <v>36395.019999999997</v>
      </c>
      <c r="J60" s="11">
        <f t="shared" ref="J60:J62" si="186">B60-B59</f>
        <v>0</v>
      </c>
      <c r="K60" s="11">
        <f t="shared" ref="K60:K62" si="187">C60-C59</f>
        <v>0</v>
      </c>
      <c r="L60" s="11">
        <f t="shared" ref="L60:L62" si="188">D60-D59</f>
        <v>0</v>
      </c>
      <c r="M60" s="11">
        <f t="shared" ref="M60:M61" si="189">E60-E59</f>
        <v>0</v>
      </c>
      <c r="N60" s="11">
        <f t="shared" ref="N60:N61" si="190">F60-F59</f>
        <v>0</v>
      </c>
      <c r="O60" s="11"/>
      <c r="P60" s="11"/>
      <c r="Q60" s="11"/>
      <c r="R60" s="40"/>
    </row>
    <row r="61" spans="1:18" x14ac:dyDescent="0.25">
      <c r="A61" s="10">
        <v>45851</v>
      </c>
      <c r="B61" s="11">
        <v>5147.99</v>
      </c>
      <c r="C61" s="11">
        <v>24354.5</v>
      </c>
      <c r="D61" s="11">
        <v>4843.4799999999996</v>
      </c>
      <c r="E61" s="11">
        <v>1022.42</v>
      </c>
      <c r="F61" s="11">
        <v>1026.6300000000001</v>
      </c>
      <c r="G61" s="11"/>
      <c r="H61" s="11"/>
      <c r="I61" s="34">
        <f t="shared" si="185"/>
        <v>36395.019999999997</v>
      </c>
      <c r="J61" s="11">
        <f t="shared" si="186"/>
        <v>0</v>
      </c>
      <c r="K61" s="11">
        <f t="shared" si="187"/>
        <v>0</v>
      </c>
      <c r="L61" s="11">
        <f t="shared" si="188"/>
        <v>0</v>
      </c>
      <c r="M61" s="11">
        <f t="shared" si="189"/>
        <v>0</v>
      </c>
      <c r="N61" s="11">
        <f t="shared" si="190"/>
        <v>0</v>
      </c>
      <c r="O61" s="11"/>
      <c r="P61" s="11"/>
      <c r="Q61" s="11"/>
      <c r="R61" s="40"/>
    </row>
    <row r="62" spans="1:18" x14ac:dyDescent="0.25">
      <c r="A62" s="3">
        <v>45852</v>
      </c>
      <c r="B62" s="4">
        <v>5151.25</v>
      </c>
      <c r="C62" s="4">
        <v>24365.919999999998</v>
      </c>
      <c r="D62" s="4">
        <v>4846.25</v>
      </c>
      <c r="E62" s="4">
        <v>1022.96</v>
      </c>
      <c r="F62" s="4">
        <v>1027.26</v>
      </c>
      <c r="G62" s="4"/>
      <c r="H62" s="4"/>
      <c r="I62" s="6">
        <f t="shared" si="185"/>
        <v>36413.64</v>
      </c>
      <c r="J62" s="4">
        <f t="shared" si="186"/>
        <v>3.2600000000002183</v>
      </c>
      <c r="K62" s="4">
        <f t="shared" si="187"/>
        <v>11.419999999998254</v>
      </c>
      <c r="L62" s="4">
        <f t="shared" si="188"/>
        <v>2.7700000000004366</v>
      </c>
      <c r="M62" s="4">
        <f t="shared" ref="M62" si="191">E62-E61</f>
        <v>0.54000000000007731</v>
      </c>
      <c r="N62" s="4">
        <f t="shared" ref="N62" si="192">F62-F61</f>
        <v>0.62999999999988177</v>
      </c>
      <c r="O62" s="4"/>
      <c r="P62" s="4"/>
      <c r="Q62" s="34">
        <f t="shared" ref="Q62" si="193">SUM(J62:N62)</f>
        <v>18.619999999998868</v>
      </c>
      <c r="R62" s="40"/>
    </row>
    <row r="63" spans="1:18" x14ac:dyDescent="0.25">
      <c r="A63" s="3">
        <v>45853</v>
      </c>
      <c r="B63" s="4">
        <v>5154.5149999999994</v>
      </c>
      <c r="C63" s="4">
        <v>24383.72</v>
      </c>
      <c r="D63" s="4">
        <v>4849.0300000000007</v>
      </c>
      <c r="E63" s="4">
        <v>1023.49</v>
      </c>
      <c r="F63" s="4">
        <v>1027.895</v>
      </c>
      <c r="G63" s="4"/>
      <c r="H63" s="4"/>
      <c r="I63" s="6">
        <f t="shared" ref="I63:I66" si="194">SUM(B63:F63)</f>
        <v>36438.649999999994</v>
      </c>
      <c r="J63" s="4">
        <f t="shared" ref="J63:J66" si="195">B63-B62</f>
        <v>3.2649999999994179</v>
      </c>
      <c r="K63" s="4">
        <f t="shared" ref="K63:K66" si="196">C63-C62</f>
        <v>17.80000000000291</v>
      </c>
      <c r="L63" s="4">
        <f t="shared" ref="L63" si="197">D63-D62</f>
        <v>2.7800000000006548</v>
      </c>
      <c r="M63" s="4">
        <f t="shared" ref="M63" si="198">E63-E62</f>
        <v>0.52999999999997272</v>
      </c>
      <c r="N63" s="4">
        <f t="shared" ref="N63" si="199">F63-F62</f>
        <v>0.63499999999999091</v>
      </c>
      <c r="O63" s="4"/>
      <c r="P63" s="4"/>
      <c r="Q63" s="18">
        <f t="shared" ref="Q63:Q66" si="200">SUM(J63:N63)</f>
        <v>25.010000000002947</v>
      </c>
    </row>
    <row r="64" spans="1:18" x14ac:dyDescent="0.25">
      <c r="A64" s="3">
        <v>45854</v>
      </c>
      <c r="B64" s="4">
        <v>5157.78</v>
      </c>
      <c r="C64" s="4">
        <v>24401.52</v>
      </c>
      <c r="D64" s="4">
        <v>4851.8100000000004</v>
      </c>
      <c r="E64" s="4">
        <v>1024.02</v>
      </c>
      <c r="F64" s="4">
        <v>1028.53</v>
      </c>
      <c r="G64" s="4"/>
      <c r="H64" s="4"/>
      <c r="I64" s="6">
        <f t="shared" si="194"/>
        <v>36463.659999999996</v>
      </c>
      <c r="J64" s="4">
        <f t="shared" si="195"/>
        <v>3.2650000000003274</v>
      </c>
      <c r="K64" s="4">
        <f t="shared" si="196"/>
        <v>17.799999999999272</v>
      </c>
      <c r="L64" s="4">
        <f t="shared" ref="L64:L65" si="201">D64-D63</f>
        <v>2.7799999999997453</v>
      </c>
      <c r="M64" s="4">
        <f t="shared" ref="M64" si="202">E64-E63</f>
        <v>0.52999999999997272</v>
      </c>
      <c r="N64" s="4">
        <f t="shared" ref="N64" si="203">F64-F63</f>
        <v>0.63499999999999091</v>
      </c>
      <c r="O64" s="4"/>
      <c r="P64" s="4"/>
      <c r="Q64" s="26">
        <f t="shared" si="200"/>
        <v>25.009999999999309</v>
      </c>
    </row>
    <row r="65" spans="1:18" x14ac:dyDescent="0.25">
      <c r="A65" s="3">
        <v>45855</v>
      </c>
      <c r="B65" s="4">
        <v>5161.05</v>
      </c>
      <c r="C65" s="4">
        <v>24412.48</v>
      </c>
      <c r="D65" s="4">
        <v>4854.6000000000004</v>
      </c>
      <c r="E65" s="4">
        <v>1024.56</v>
      </c>
      <c r="F65" s="4">
        <v>1029.17</v>
      </c>
      <c r="G65" s="4"/>
      <c r="H65" s="4"/>
      <c r="I65" s="6">
        <f t="shared" si="194"/>
        <v>36481.859999999993</v>
      </c>
      <c r="J65" s="4">
        <f t="shared" si="195"/>
        <v>3.2700000000004366</v>
      </c>
      <c r="K65" s="4">
        <f t="shared" si="196"/>
        <v>10.959999999999127</v>
      </c>
      <c r="L65" s="4">
        <f t="shared" si="201"/>
        <v>2.7899999999999636</v>
      </c>
      <c r="M65" s="4">
        <f t="shared" ref="M65" si="204">E65-E64</f>
        <v>0.53999999999996362</v>
      </c>
      <c r="N65" s="4">
        <f t="shared" ref="N65" si="205">F65-F64</f>
        <v>0.64000000000010004</v>
      </c>
      <c r="O65" s="4"/>
      <c r="P65" s="4"/>
      <c r="Q65" s="26">
        <f t="shared" si="200"/>
        <v>18.199999999999591</v>
      </c>
      <c r="R65" s="40"/>
    </row>
    <row r="66" spans="1:18" x14ac:dyDescent="0.25">
      <c r="A66" s="3">
        <v>45856</v>
      </c>
      <c r="B66" s="4">
        <v>5164.32</v>
      </c>
      <c r="C66" s="4">
        <v>24426.49</v>
      </c>
      <c r="D66" s="4">
        <v>4857.38</v>
      </c>
      <c r="E66" s="4">
        <v>1025.0899999999999</v>
      </c>
      <c r="F66" s="4">
        <v>1029.8</v>
      </c>
      <c r="G66" s="4"/>
      <c r="H66" s="4"/>
      <c r="I66" s="6">
        <f t="shared" si="194"/>
        <v>36503.08</v>
      </c>
      <c r="J66" s="4">
        <f t="shared" si="195"/>
        <v>3.2699999999995271</v>
      </c>
      <c r="K66" s="4">
        <f t="shared" si="196"/>
        <v>14.010000000002037</v>
      </c>
      <c r="L66" s="4">
        <f t="shared" ref="L66" si="206">D66-D65</f>
        <v>2.7799999999997453</v>
      </c>
      <c r="M66" s="4">
        <f t="shared" ref="M66" si="207">E66-E65</f>
        <v>0.52999999999997272</v>
      </c>
      <c r="N66" s="4">
        <f t="shared" ref="N66" si="208">F66-F65</f>
        <v>0.62999999999988177</v>
      </c>
      <c r="O66" s="4"/>
      <c r="P66" s="4"/>
      <c r="Q66" s="26">
        <f t="shared" si="200"/>
        <v>21.220000000001164</v>
      </c>
      <c r="R66" s="40"/>
    </row>
    <row r="67" spans="1:18" x14ac:dyDescent="0.25">
      <c r="A67" s="10">
        <v>45857</v>
      </c>
      <c r="B67" s="11">
        <v>5164.32</v>
      </c>
      <c r="C67" s="11">
        <v>24426.49</v>
      </c>
      <c r="D67" s="11">
        <v>4857.38</v>
      </c>
      <c r="E67" s="11">
        <v>1025.0899999999999</v>
      </c>
      <c r="F67" s="11">
        <v>1029.8</v>
      </c>
      <c r="G67" s="11"/>
      <c r="H67" s="11"/>
      <c r="I67" s="34">
        <f t="shared" ref="I67:I73" si="209">SUM(B67:F67)</f>
        <v>36503.08</v>
      </c>
      <c r="J67" s="11">
        <f t="shared" ref="J67" si="210">B67-B66</f>
        <v>0</v>
      </c>
      <c r="K67" s="11">
        <f t="shared" ref="K67:K69" si="211">C67-C66</f>
        <v>0</v>
      </c>
      <c r="L67" s="11">
        <f t="shared" ref="L67:L69" si="212">D67-D66</f>
        <v>0</v>
      </c>
      <c r="M67" s="11">
        <f t="shared" ref="M67:M68" si="213">E67-E66</f>
        <v>0</v>
      </c>
      <c r="N67" s="11">
        <f t="shared" ref="N67:N68" si="214">F67-F66</f>
        <v>0</v>
      </c>
      <c r="O67" s="11"/>
      <c r="P67" s="11"/>
      <c r="Q67" s="11"/>
      <c r="R67" s="40"/>
    </row>
    <row r="68" spans="1:18" x14ac:dyDescent="0.25">
      <c r="A68" s="10">
        <v>45858</v>
      </c>
      <c r="B68" s="11">
        <v>5164.32</v>
      </c>
      <c r="C68" s="11">
        <v>24426.49</v>
      </c>
      <c r="D68" s="11">
        <v>4857.38</v>
      </c>
      <c r="E68" s="11">
        <v>1025.0899999999999</v>
      </c>
      <c r="F68" s="11">
        <v>1029.8</v>
      </c>
      <c r="G68" s="11"/>
      <c r="H68" s="11"/>
      <c r="I68" s="34">
        <f t="shared" si="209"/>
        <v>36503.08</v>
      </c>
      <c r="J68" s="11">
        <f t="shared" ref="J68:J73" si="215">B68-B67</f>
        <v>0</v>
      </c>
      <c r="K68" s="11">
        <f t="shared" si="211"/>
        <v>0</v>
      </c>
      <c r="L68" s="11">
        <f t="shared" si="212"/>
        <v>0</v>
      </c>
      <c r="M68" s="11">
        <f t="shared" si="213"/>
        <v>0</v>
      </c>
      <c r="N68" s="11">
        <f t="shared" si="214"/>
        <v>0</v>
      </c>
      <c r="O68" s="11"/>
      <c r="P68" s="11"/>
      <c r="Q68" s="11"/>
      <c r="R68" s="40"/>
    </row>
    <row r="69" spans="1:18" x14ac:dyDescent="0.25">
      <c r="A69" s="3">
        <v>45859</v>
      </c>
      <c r="B69" s="4">
        <v>5167.59</v>
      </c>
      <c r="C69" s="4">
        <v>24441.05</v>
      </c>
      <c r="D69" s="4">
        <v>4860.16</v>
      </c>
      <c r="E69" s="4">
        <v>1025.6199999999999</v>
      </c>
      <c r="F69" s="4">
        <v>1030.44</v>
      </c>
      <c r="G69" s="4"/>
      <c r="H69" s="4"/>
      <c r="I69" s="6">
        <f t="shared" si="209"/>
        <v>36524.860000000008</v>
      </c>
      <c r="J69" s="4">
        <f t="shared" si="215"/>
        <v>3.2700000000004366</v>
      </c>
      <c r="K69" s="4">
        <f t="shared" si="211"/>
        <v>14.559999999997672</v>
      </c>
      <c r="L69" s="4">
        <f t="shared" si="212"/>
        <v>2.7799999999997453</v>
      </c>
      <c r="M69" s="4">
        <f t="shared" ref="M69" si="216">E69-E68</f>
        <v>0.52999999999997272</v>
      </c>
      <c r="N69" s="4">
        <f t="shared" ref="N69" si="217">F69-F68</f>
        <v>0.64000000000010004</v>
      </c>
      <c r="O69" s="4"/>
      <c r="P69" s="4"/>
      <c r="Q69" s="26">
        <f t="shared" ref="Q69" si="218">SUM(J69:N69)</f>
        <v>21.779999999997926</v>
      </c>
      <c r="R69" s="40"/>
    </row>
    <row r="70" spans="1:18" x14ac:dyDescent="0.25">
      <c r="A70" s="3">
        <v>45860</v>
      </c>
      <c r="B70" s="4">
        <v>5170.88</v>
      </c>
      <c r="C70" s="4">
        <v>24454.89</v>
      </c>
      <c r="D70" s="4">
        <v>4862.95</v>
      </c>
      <c r="E70" s="4">
        <v>1026.1600000000001</v>
      </c>
      <c r="F70" s="4">
        <v>1031.08</v>
      </c>
      <c r="G70" s="4"/>
      <c r="H70" s="4"/>
      <c r="I70" s="6">
        <f t="shared" si="209"/>
        <v>36545.960000000006</v>
      </c>
      <c r="J70" s="4">
        <f t="shared" si="215"/>
        <v>3.2899999999999636</v>
      </c>
      <c r="K70" s="4">
        <f t="shared" ref="K70" si="219">C70-C69</f>
        <v>13.840000000000146</v>
      </c>
      <c r="L70" s="4">
        <f t="shared" ref="L70" si="220">D70-D69</f>
        <v>2.7899999999999636</v>
      </c>
      <c r="M70" s="4">
        <f t="shared" ref="M70" si="221">E70-E69</f>
        <v>0.54000000000019099</v>
      </c>
      <c r="N70" s="4">
        <f t="shared" ref="N70" si="222">F70-F69</f>
        <v>0.63999999999987267</v>
      </c>
      <c r="O70" s="4"/>
      <c r="P70" s="4"/>
      <c r="Q70" s="26">
        <f t="shared" ref="Q70" si="223">SUM(J70:N70)</f>
        <v>21.100000000000136</v>
      </c>
      <c r="R70" s="40"/>
    </row>
    <row r="71" spans="1:18" x14ac:dyDescent="0.25">
      <c r="A71" s="8">
        <v>45861</v>
      </c>
      <c r="B71" s="4">
        <v>5174.1499999999996</v>
      </c>
      <c r="C71" s="4">
        <v>24468.46</v>
      </c>
      <c r="D71" s="4">
        <v>4865.7299999999996</v>
      </c>
      <c r="E71" s="4">
        <v>1026.69</v>
      </c>
      <c r="F71" s="4">
        <v>1031.71</v>
      </c>
      <c r="G71" s="4"/>
      <c r="H71" s="4"/>
      <c r="I71" s="6">
        <f t="shared" si="209"/>
        <v>36566.74</v>
      </c>
      <c r="J71" s="4">
        <f t="shared" si="215"/>
        <v>3.2699999999995271</v>
      </c>
      <c r="K71" s="4">
        <f t="shared" ref="K71" si="224">C71-C70</f>
        <v>13.569999999999709</v>
      </c>
      <c r="L71" s="4">
        <f t="shared" ref="L71" si="225">D71-D70</f>
        <v>2.7799999999997453</v>
      </c>
      <c r="M71" s="4">
        <f t="shared" ref="M71" si="226">E71-E70</f>
        <v>0.52999999999997272</v>
      </c>
      <c r="N71" s="4">
        <f t="shared" ref="N71" si="227">F71-F70</f>
        <v>0.63000000000010914</v>
      </c>
      <c r="O71" s="4"/>
      <c r="P71" s="4"/>
      <c r="Q71" s="26">
        <f t="shared" ref="Q71" si="228">SUM(J71:N71)</f>
        <v>20.779999999999063</v>
      </c>
      <c r="R71" s="40"/>
    </row>
    <row r="72" spans="1:18" x14ac:dyDescent="0.25">
      <c r="A72" s="3">
        <v>45862</v>
      </c>
      <c r="B72" s="4">
        <v>5177.43</v>
      </c>
      <c r="C72" s="4">
        <v>24481.9</v>
      </c>
      <c r="D72" s="4">
        <v>4868.5200000000004</v>
      </c>
      <c r="E72" s="4">
        <v>1027.23</v>
      </c>
      <c r="F72" s="4">
        <v>1032.3499999999999</v>
      </c>
      <c r="G72" s="4"/>
      <c r="H72" s="4"/>
      <c r="I72" s="6">
        <f t="shared" si="209"/>
        <v>36587.430000000008</v>
      </c>
      <c r="J72" s="4">
        <f t="shared" si="215"/>
        <v>3.2800000000006548</v>
      </c>
      <c r="K72" s="4">
        <f t="shared" ref="K72" si="229">C72-C71</f>
        <v>13.440000000002328</v>
      </c>
      <c r="L72" s="4">
        <f t="shared" ref="L72" si="230">D72-D71</f>
        <v>2.7900000000008731</v>
      </c>
      <c r="M72" s="4">
        <f t="shared" ref="M72" si="231">E72-E71</f>
        <v>0.53999999999996362</v>
      </c>
      <c r="N72" s="4">
        <f t="shared" ref="N72" si="232">F72-F71</f>
        <v>0.63999999999987267</v>
      </c>
      <c r="O72" s="4"/>
      <c r="P72" s="4"/>
      <c r="Q72" s="26">
        <f t="shared" ref="Q72" si="233">SUM(J72:N72)</f>
        <v>20.690000000003693</v>
      </c>
      <c r="R72" s="40"/>
    </row>
    <row r="73" spans="1:18" x14ac:dyDescent="0.25">
      <c r="A73" s="8">
        <v>45863</v>
      </c>
      <c r="B73" s="4">
        <v>5180.72</v>
      </c>
      <c r="C73" s="4">
        <v>24495.41</v>
      </c>
      <c r="D73" s="4">
        <v>4871.32</v>
      </c>
      <c r="E73" s="4">
        <v>1027.76</v>
      </c>
      <c r="F73" s="4">
        <v>1032.99</v>
      </c>
      <c r="G73" s="4"/>
      <c r="H73" s="4"/>
      <c r="I73" s="6">
        <f t="shared" si="209"/>
        <v>36608.199999999997</v>
      </c>
      <c r="J73" s="4">
        <f t="shared" si="215"/>
        <v>3.2899999999999636</v>
      </c>
      <c r="K73" s="4">
        <f t="shared" ref="K73" si="234">C73-C72</f>
        <v>13.509999999998399</v>
      </c>
      <c r="L73" s="4">
        <f t="shared" ref="L73" si="235">D73-D72</f>
        <v>2.7999999999992724</v>
      </c>
      <c r="M73" s="4">
        <f t="shared" ref="M73" si="236">E73-E72</f>
        <v>0.52999999999997272</v>
      </c>
      <c r="N73" s="4">
        <f t="shared" ref="N73" si="237">F73-F72</f>
        <v>0.64000000000010004</v>
      </c>
      <c r="O73" s="4"/>
      <c r="P73" s="4"/>
      <c r="Q73" s="26">
        <f t="shared" ref="Q73" si="238">SUM(J73:N73)</f>
        <v>20.769999999997708</v>
      </c>
      <c r="R73" s="40"/>
    </row>
    <row r="74" spans="1:18" x14ac:dyDescent="0.25">
      <c r="A74" s="10">
        <v>45864</v>
      </c>
      <c r="B74" s="11">
        <v>5180.72</v>
      </c>
      <c r="C74" s="11">
        <v>24495.41</v>
      </c>
      <c r="D74" s="11">
        <v>4871.32</v>
      </c>
      <c r="E74" s="11">
        <v>1027.76</v>
      </c>
      <c r="F74" s="11">
        <v>1032.99</v>
      </c>
      <c r="G74" s="11"/>
      <c r="H74" s="11"/>
      <c r="I74" s="34">
        <f t="shared" ref="I74:I79" si="239">SUM(B74:F74)</f>
        <v>36608.199999999997</v>
      </c>
      <c r="J74" s="11">
        <f t="shared" ref="J74:J76" si="240">B74-B73</f>
        <v>0</v>
      </c>
      <c r="K74" s="11">
        <f t="shared" ref="K74:K76" si="241">C74-C73</f>
        <v>0</v>
      </c>
      <c r="L74" s="11">
        <f t="shared" ref="L74:L76" si="242">D74-D73</f>
        <v>0</v>
      </c>
      <c r="M74" s="11">
        <f t="shared" ref="M74:M75" si="243">E74-E73</f>
        <v>0</v>
      </c>
      <c r="N74" s="11">
        <f t="shared" ref="N74:N75" si="244">F74-F73</f>
        <v>0</v>
      </c>
      <c r="O74" s="11"/>
      <c r="P74" s="11"/>
      <c r="Q74" s="11"/>
      <c r="R74" s="40"/>
    </row>
    <row r="75" spans="1:18" x14ac:dyDescent="0.25">
      <c r="A75" s="10">
        <v>45865</v>
      </c>
      <c r="B75" s="11">
        <v>5180.72</v>
      </c>
      <c r="C75" s="11">
        <v>24495.41</v>
      </c>
      <c r="D75" s="11">
        <v>4871.32</v>
      </c>
      <c r="E75" s="11">
        <v>1027.76</v>
      </c>
      <c r="F75" s="11">
        <v>1032.99</v>
      </c>
      <c r="G75" s="11"/>
      <c r="H75" s="11"/>
      <c r="I75" s="34">
        <f t="shared" si="239"/>
        <v>36608.199999999997</v>
      </c>
      <c r="J75" s="11">
        <f t="shared" si="240"/>
        <v>0</v>
      </c>
      <c r="K75" s="11">
        <f t="shared" si="241"/>
        <v>0</v>
      </c>
      <c r="L75" s="11">
        <f t="shared" si="242"/>
        <v>0</v>
      </c>
      <c r="M75" s="11">
        <f t="shared" si="243"/>
        <v>0</v>
      </c>
      <c r="N75" s="11">
        <f t="shared" si="244"/>
        <v>0</v>
      </c>
      <c r="O75" s="11"/>
      <c r="P75" s="11"/>
      <c r="Q75" s="11"/>
      <c r="R75" s="40"/>
    </row>
    <row r="76" spans="1:18" x14ac:dyDescent="0.25">
      <c r="A76" s="3">
        <v>45866</v>
      </c>
      <c r="B76" s="4">
        <v>5184</v>
      </c>
      <c r="C76" s="4">
        <v>24508.54</v>
      </c>
      <c r="D76" s="4">
        <v>4874.1099999999997</v>
      </c>
      <c r="E76" s="4">
        <v>1028.3</v>
      </c>
      <c r="F76" s="4">
        <v>1033.6199999999999</v>
      </c>
      <c r="G76" s="4"/>
      <c r="H76" s="4"/>
      <c r="I76" s="6">
        <f t="shared" si="239"/>
        <v>36628.570000000007</v>
      </c>
      <c r="J76" s="4">
        <f t="shared" si="240"/>
        <v>3.2799999999997453</v>
      </c>
      <c r="K76" s="4">
        <f t="shared" si="241"/>
        <v>13.130000000001019</v>
      </c>
      <c r="L76" s="4">
        <f t="shared" si="242"/>
        <v>2.7899999999999636</v>
      </c>
      <c r="M76" s="4">
        <f t="shared" ref="M76" si="245">E76-E75</f>
        <v>0.53999999999996362</v>
      </c>
      <c r="N76" s="4">
        <f t="shared" ref="N76" si="246">F76-F75</f>
        <v>0.62999999999988177</v>
      </c>
      <c r="O76" s="4"/>
      <c r="P76" s="4"/>
      <c r="Q76" s="26">
        <f t="shared" ref="Q76" si="247">SUM(J76:N76)</f>
        <v>20.370000000000573</v>
      </c>
      <c r="R76" s="40"/>
    </row>
    <row r="77" spans="1:18" x14ac:dyDescent="0.25">
      <c r="A77" s="3">
        <v>45867</v>
      </c>
      <c r="B77" s="4">
        <v>5187.28</v>
      </c>
      <c r="C77" s="4">
        <v>24523.42</v>
      </c>
      <c r="D77" s="4">
        <v>4876.8999999999996</v>
      </c>
      <c r="E77" s="4">
        <v>1028.83</v>
      </c>
      <c r="F77" s="4">
        <v>1034.26</v>
      </c>
      <c r="G77" s="4"/>
      <c r="H77" s="4"/>
      <c r="I77" s="6">
        <f t="shared" si="239"/>
        <v>36650.69</v>
      </c>
      <c r="J77" s="4">
        <f t="shared" ref="J77" si="248">B77-B76</f>
        <v>3.2799999999997453</v>
      </c>
      <c r="K77" s="4">
        <f t="shared" ref="K77" si="249">C77-C76</f>
        <v>14.879999999997381</v>
      </c>
      <c r="L77" s="4">
        <f t="shared" ref="L77" si="250">D77-D76</f>
        <v>2.7899999999999636</v>
      </c>
      <c r="M77" s="4">
        <f t="shared" ref="M77" si="251">E77-E76</f>
        <v>0.52999999999997272</v>
      </c>
      <c r="N77" s="4">
        <f t="shared" ref="N77" si="252">F77-F76</f>
        <v>0.64000000000010004</v>
      </c>
      <c r="O77" s="4"/>
      <c r="P77" s="4"/>
      <c r="Q77" s="26">
        <f t="shared" ref="Q77" si="253">SUM(J77:N77)</f>
        <v>22.119999999997162</v>
      </c>
      <c r="R77" s="40"/>
    </row>
    <row r="78" spans="1:18" x14ac:dyDescent="0.25">
      <c r="A78" s="3">
        <v>45868</v>
      </c>
      <c r="B78" s="4">
        <v>5190.58</v>
      </c>
      <c r="C78" s="4">
        <v>24536.78</v>
      </c>
      <c r="D78" s="4">
        <v>4879.71</v>
      </c>
      <c r="E78" s="4">
        <v>1029.3699999999999</v>
      </c>
      <c r="F78" s="4">
        <v>1034.9000000000001</v>
      </c>
      <c r="G78" s="4"/>
      <c r="H78" s="4"/>
      <c r="I78" s="6">
        <f t="shared" si="239"/>
        <v>36671.340000000004</v>
      </c>
      <c r="J78" s="4">
        <f t="shared" ref="J78:J79" si="254">B78-B77</f>
        <v>3.3000000000001819</v>
      </c>
      <c r="K78" s="4">
        <f t="shared" ref="K78:K79" si="255">C78-C77</f>
        <v>13.360000000000582</v>
      </c>
      <c r="L78" s="4">
        <f t="shared" ref="L78" si="256">D78-D77</f>
        <v>2.8100000000004002</v>
      </c>
      <c r="M78" s="4">
        <f t="shared" ref="M78" si="257">E78-E77</f>
        <v>0.53999999999996362</v>
      </c>
      <c r="N78" s="4">
        <f t="shared" ref="N78" si="258">F78-F77</f>
        <v>0.64000000000010004</v>
      </c>
      <c r="O78" s="4"/>
      <c r="P78" s="4"/>
      <c r="Q78" s="26">
        <f t="shared" ref="Q78:Q79" si="259">SUM(J78:N78)</f>
        <v>20.650000000001228</v>
      </c>
      <c r="R78" s="40"/>
    </row>
    <row r="79" spans="1:18" x14ac:dyDescent="0.25">
      <c r="A79" s="3">
        <v>45869</v>
      </c>
      <c r="B79" s="4">
        <v>5193.87</v>
      </c>
      <c r="C79" s="4">
        <v>24550.13</v>
      </c>
      <c r="D79" s="4">
        <v>4882.5</v>
      </c>
      <c r="E79" s="4">
        <v>1029.9100000000001</v>
      </c>
      <c r="F79" s="4">
        <v>1035.54</v>
      </c>
      <c r="G79" s="4">
        <v>3000</v>
      </c>
      <c r="H79" s="4"/>
      <c r="I79" s="6">
        <f t="shared" si="239"/>
        <v>36691.950000000004</v>
      </c>
      <c r="J79" s="4">
        <f t="shared" si="254"/>
        <v>3.2899999999999636</v>
      </c>
      <c r="K79" s="4">
        <f t="shared" si="255"/>
        <v>13.350000000002183</v>
      </c>
      <c r="L79" s="4">
        <f t="shared" ref="L79" si="260">D79-D78</f>
        <v>2.7899999999999636</v>
      </c>
      <c r="M79" s="4">
        <f t="shared" ref="M79" si="261">E79-E78</f>
        <v>0.54000000000019099</v>
      </c>
      <c r="N79" s="4">
        <f t="shared" ref="N79" si="262">F79-F78</f>
        <v>0.63999999999987267</v>
      </c>
      <c r="O79" s="4"/>
      <c r="P79" s="4"/>
      <c r="Q79" s="26">
        <f t="shared" si="259"/>
        <v>20.610000000002174</v>
      </c>
      <c r="R79" s="40"/>
    </row>
    <row r="80" spans="1:18" x14ac:dyDescent="0.25">
      <c r="A80" s="5" t="s">
        <v>6</v>
      </c>
      <c r="B80" s="9"/>
      <c r="C80" s="9"/>
      <c r="D80" s="9"/>
      <c r="E80" s="9"/>
      <c r="F80" s="9"/>
      <c r="G80" s="9"/>
      <c r="H80" s="9"/>
      <c r="I80" s="9"/>
      <c r="J80" s="6">
        <f>SUM(J49:J79)</f>
        <v>75.170000000000073</v>
      </c>
      <c r="K80" s="6">
        <f t="shared" ref="K80:Q80" si="263">SUM(K49:K79)</f>
        <v>316.65999999999985</v>
      </c>
      <c r="L80" s="6">
        <f t="shared" si="263"/>
        <v>63.930000000000291</v>
      </c>
      <c r="M80" s="6">
        <f t="shared" si="263"/>
        <v>12.800000000000068</v>
      </c>
      <c r="N80" s="6">
        <f t="shared" si="263"/>
        <v>15.230000000000018</v>
      </c>
      <c r="O80" s="6"/>
      <c r="P80" s="6"/>
      <c r="Q80" s="6">
        <f t="shared" si="263"/>
        <v>483.7900000000003</v>
      </c>
      <c r="R80" s="40"/>
    </row>
    <row r="81" spans="1:18" x14ac:dyDescent="0.25">
      <c r="J81" s="44">
        <f>J80/B48</f>
        <v>1.4685369332056983E-2</v>
      </c>
      <c r="K81" s="44">
        <f>K80/C48</f>
        <v>1.3067051478801833E-2</v>
      </c>
      <c r="L81" s="44">
        <f>L80/D48</f>
        <v>1.3267421662443483E-2</v>
      </c>
      <c r="M81" s="44">
        <f>M80/E48</f>
        <v>1.2584676190382621E-2</v>
      </c>
      <c r="N81" s="44">
        <f>N80/F48</f>
        <v>1.4926835961619526E-2</v>
      </c>
      <c r="O81" s="44"/>
      <c r="P81" s="44"/>
      <c r="Q81" s="44">
        <f t="shared" ref="Q81" si="264">Q80/I48</f>
        <v>1.3361352800031824E-2</v>
      </c>
    </row>
    <row r="83" spans="1:18" x14ac:dyDescent="0.25">
      <c r="A83" s="3">
        <v>45870</v>
      </c>
      <c r="B83" s="4">
        <v>5197.16</v>
      </c>
      <c r="C83" s="4">
        <v>24563.02</v>
      </c>
      <c r="D83" s="4">
        <v>4885.29</v>
      </c>
      <c r="E83" s="4">
        <v>1030.44</v>
      </c>
      <c r="F83" s="4">
        <v>1036.18</v>
      </c>
      <c r="G83" s="4">
        <v>3001.65</v>
      </c>
      <c r="H83" s="4"/>
      <c r="I83" s="6">
        <f>SUM(B83:G83)</f>
        <v>39713.740000000005</v>
      </c>
      <c r="J83" s="4">
        <f t="shared" ref="J83:O83" si="265">B83-B79</f>
        <v>3.2899999999999636</v>
      </c>
      <c r="K83" s="4">
        <f t="shared" si="265"/>
        <v>12.889999999999418</v>
      </c>
      <c r="L83" s="4">
        <f t="shared" si="265"/>
        <v>2.7899999999999636</v>
      </c>
      <c r="M83" s="4">
        <f t="shared" si="265"/>
        <v>0.52999999999997272</v>
      </c>
      <c r="N83" s="4">
        <f t="shared" si="265"/>
        <v>0.64000000000010004</v>
      </c>
      <c r="O83" s="4">
        <f t="shared" si="265"/>
        <v>1.6500000000000909</v>
      </c>
      <c r="P83" s="4"/>
      <c r="Q83" s="26">
        <f t="shared" ref="Q83:Q90" si="266">SUM(J83:O83)</f>
        <v>21.789999999999509</v>
      </c>
      <c r="R83" s="26">
        <f>AVERAGE(Q83:Q113)</f>
        <v>22.609523809523733</v>
      </c>
    </row>
    <row r="84" spans="1:18" x14ac:dyDescent="0.25">
      <c r="A84" s="10">
        <v>45871</v>
      </c>
      <c r="B84" s="11">
        <v>5197.16</v>
      </c>
      <c r="C84" s="11">
        <v>24563.02</v>
      </c>
      <c r="D84" s="11">
        <v>4885.29</v>
      </c>
      <c r="E84" s="11">
        <v>1030.44</v>
      </c>
      <c r="F84" s="11">
        <v>1036.18</v>
      </c>
      <c r="G84" s="11">
        <v>3001.65</v>
      </c>
      <c r="H84" s="11"/>
      <c r="I84" s="34">
        <f t="shared" ref="I84:I90" si="267">SUM(B84:G84)</f>
        <v>39713.740000000005</v>
      </c>
      <c r="J84" s="11">
        <f t="shared" ref="J84:J90" si="268">B84-B83</f>
        <v>0</v>
      </c>
      <c r="K84" s="11">
        <f>C84-C83</f>
        <v>0</v>
      </c>
      <c r="L84" s="11">
        <f>D84-D83</f>
        <v>0</v>
      </c>
      <c r="M84" s="11">
        <f>E84-E83</f>
        <v>0</v>
      </c>
      <c r="N84" s="11">
        <f>F84-F83</f>
        <v>0</v>
      </c>
      <c r="O84" s="11">
        <f>G84-G83</f>
        <v>0</v>
      </c>
      <c r="P84" s="11"/>
      <c r="Q84" s="11"/>
    </row>
    <row r="85" spans="1:18" x14ac:dyDescent="0.25">
      <c r="A85" s="10">
        <v>45872</v>
      </c>
      <c r="B85" s="11">
        <v>5197.16</v>
      </c>
      <c r="C85" s="11">
        <v>24563.02</v>
      </c>
      <c r="D85" s="11">
        <v>4885.29</v>
      </c>
      <c r="E85" s="11">
        <v>1030.44</v>
      </c>
      <c r="F85" s="11">
        <v>1036.18</v>
      </c>
      <c r="G85" s="11">
        <v>3001.65</v>
      </c>
      <c r="H85" s="11"/>
      <c r="I85" s="34">
        <f t="shared" si="267"/>
        <v>39713.740000000005</v>
      </c>
      <c r="J85" s="11">
        <f t="shared" si="268"/>
        <v>0</v>
      </c>
      <c r="K85" s="11">
        <f t="shared" ref="K85:K86" si="269">C85-C84</f>
        <v>0</v>
      </c>
      <c r="L85" s="11">
        <f t="shared" ref="L85" si="270">D85-D84</f>
        <v>0</v>
      </c>
      <c r="M85" s="11">
        <f t="shared" ref="M85" si="271">E85-E84</f>
        <v>0</v>
      </c>
      <c r="N85" s="11">
        <f t="shared" ref="N85" si="272">F85-F84</f>
        <v>0</v>
      </c>
      <c r="O85" s="11">
        <f t="shared" ref="O85" si="273">G85-G84</f>
        <v>0</v>
      </c>
      <c r="P85" s="11"/>
      <c r="Q85" s="11"/>
    </row>
    <row r="86" spans="1:18" x14ac:dyDescent="0.25">
      <c r="A86" s="3">
        <v>45873</v>
      </c>
      <c r="B86" s="4">
        <v>5200.45</v>
      </c>
      <c r="C86" s="4">
        <v>24576.58</v>
      </c>
      <c r="D86" s="4">
        <v>4888.1000000000004</v>
      </c>
      <c r="E86" s="4">
        <v>1030.98</v>
      </c>
      <c r="F86" s="4">
        <v>1036.82</v>
      </c>
      <c r="G86" s="4">
        <v>3003.3</v>
      </c>
      <c r="H86" s="4"/>
      <c r="I86" s="6">
        <f t="shared" si="267"/>
        <v>39736.23000000001</v>
      </c>
      <c r="J86" s="4">
        <f t="shared" si="268"/>
        <v>3.2899999999999636</v>
      </c>
      <c r="K86" s="4">
        <f t="shared" si="269"/>
        <v>13.56000000000131</v>
      </c>
      <c r="L86" s="4">
        <f t="shared" ref="L86" si="274">D86-D85</f>
        <v>2.8100000000004002</v>
      </c>
      <c r="M86" s="4">
        <f t="shared" ref="M86" si="275">E86-E85</f>
        <v>0.53999999999996362</v>
      </c>
      <c r="N86" s="4">
        <f t="shared" ref="N86" si="276">F86-F85</f>
        <v>0.63999999999987267</v>
      </c>
      <c r="O86" s="4">
        <f t="shared" ref="O86" si="277">G86-G85</f>
        <v>1.6500000000000909</v>
      </c>
      <c r="P86" s="4"/>
      <c r="Q86" s="34">
        <f t="shared" si="266"/>
        <v>22.490000000001601</v>
      </c>
    </row>
    <row r="87" spans="1:18" x14ac:dyDescent="0.25">
      <c r="A87" s="3">
        <v>45874</v>
      </c>
      <c r="B87" s="4">
        <v>5203.74</v>
      </c>
      <c r="C87" s="4">
        <v>24590.36</v>
      </c>
      <c r="D87" s="4">
        <v>4890.91</v>
      </c>
      <c r="E87" s="4">
        <v>1031.52</v>
      </c>
      <c r="F87" s="4">
        <v>1037.46</v>
      </c>
      <c r="G87" s="4">
        <v>3004.96</v>
      </c>
      <c r="H87" s="4"/>
      <c r="I87" s="6">
        <f t="shared" si="267"/>
        <v>39758.94999999999</v>
      </c>
      <c r="J87" s="4">
        <f t="shared" si="268"/>
        <v>3.2899999999999636</v>
      </c>
      <c r="K87" s="4">
        <f>C87-C86</f>
        <v>13.779999999998836</v>
      </c>
      <c r="L87" s="4">
        <f t="shared" ref="L87" si="278">D87-D86</f>
        <v>2.8099999999994907</v>
      </c>
      <c r="M87" s="4">
        <f t="shared" ref="M87" si="279">E87-E86</f>
        <v>0.53999999999996362</v>
      </c>
      <c r="N87" s="4">
        <f t="shared" ref="N87" si="280">F87-F86</f>
        <v>0.64000000000010004</v>
      </c>
      <c r="O87" s="4">
        <f t="shared" ref="O87" si="281">G87-G86</f>
        <v>1.6599999999998545</v>
      </c>
      <c r="P87" s="4"/>
      <c r="Q87" s="34">
        <f t="shared" si="266"/>
        <v>22.719999999998208</v>
      </c>
    </row>
    <row r="88" spans="1:18" x14ac:dyDescent="0.25">
      <c r="A88" s="3">
        <v>45875</v>
      </c>
      <c r="B88" s="4">
        <v>5207.0600000000004</v>
      </c>
      <c r="C88" s="4">
        <v>24604.3</v>
      </c>
      <c r="D88" s="4">
        <v>4893.7</v>
      </c>
      <c r="E88" s="4">
        <v>1032.05</v>
      </c>
      <c r="F88" s="4">
        <v>1038.0999999999999</v>
      </c>
      <c r="G88" s="4">
        <v>3006.62</v>
      </c>
      <c r="H88" s="4"/>
      <c r="I88" s="6">
        <f t="shared" si="267"/>
        <v>39781.83</v>
      </c>
      <c r="J88" s="4">
        <f t="shared" si="268"/>
        <v>3.3200000000006185</v>
      </c>
      <c r="K88" s="4">
        <f>C88-C87</f>
        <v>13.93999999999869</v>
      </c>
      <c r="L88" s="4">
        <f t="shared" ref="L88" si="282">D88-D87</f>
        <v>2.7899999999999636</v>
      </c>
      <c r="M88" s="4">
        <f t="shared" ref="M88" si="283">E88-E87</f>
        <v>0.52999999999997272</v>
      </c>
      <c r="N88" s="4">
        <f t="shared" ref="N88" si="284">F88-F87</f>
        <v>0.63999999999987267</v>
      </c>
      <c r="O88" s="4">
        <f t="shared" ref="O88" si="285">G88-G87</f>
        <v>1.6599999999998545</v>
      </c>
      <c r="P88" s="4"/>
      <c r="Q88" s="34">
        <f t="shared" si="266"/>
        <v>22.879999999998972</v>
      </c>
    </row>
    <row r="89" spans="1:18" x14ac:dyDescent="0.25">
      <c r="A89" s="3">
        <v>45876</v>
      </c>
      <c r="B89" s="4">
        <v>5210.3500000000004</v>
      </c>
      <c r="C89" s="4">
        <v>24618.29</v>
      </c>
      <c r="D89" s="4">
        <v>4896.51</v>
      </c>
      <c r="E89" s="4">
        <v>1032.5899999999999</v>
      </c>
      <c r="F89" s="4">
        <v>1038.74</v>
      </c>
      <c r="G89" s="4">
        <v>3008.28</v>
      </c>
      <c r="H89" s="4"/>
      <c r="I89" s="6">
        <f t="shared" si="267"/>
        <v>39804.759999999995</v>
      </c>
      <c r="J89" s="4">
        <f t="shared" si="268"/>
        <v>3.2899999999999636</v>
      </c>
      <c r="K89" s="4">
        <f>C89-C88</f>
        <v>13.990000000001601</v>
      </c>
      <c r="L89" s="4">
        <f t="shared" ref="L89" si="286">D89-D88</f>
        <v>2.8100000000004002</v>
      </c>
      <c r="M89" s="4">
        <f t="shared" ref="M89" si="287">E89-E88</f>
        <v>0.53999999999996362</v>
      </c>
      <c r="N89" s="4">
        <f t="shared" ref="N89" si="288">F89-F88</f>
        <v>0.64000000000010004</v>
      </c>
      <c r="O89" s="4">
        <f t="shared" ref="O89" si="289">G89-G88</f>
        <v>1.6600000000003092</v>
      </c>
      <c r="P89" s="4"/>
      <c r="Q89" s="34">
        <f t="shared" si="266"/>
        <v>22.930000000002337</v>
      </c>
    </row>
    <row r="90" spans="1:18" x14ac:dyDescent="0.25">
      <c r="A90" s="3">
        <v>45877</v>
      </c>
      <c r="B90" s="4">
        <v>5213.66</v>
      </c>
      <c r="C90" s="4">
        <v>24632.25</v>
      </c>
      <c r="D90" s="4">
        <v>4899.32</v>
      </c>
      <c r="E90" s="4">
        <v>1033.1300000000001</v>
      </c>
      <c r="F90" s="4">
        <v>1039.3800000000001</v>
      </c>
      <c r="G90" s="4">
        <v>3009.94</v>
      </c>
      <c r="H90" s="4"/>
      <c r="I90" s="6">
        <f t="shared" si="267"/>
        <v>39827.679999999993</v>
      </c>
      <c r="J90" s="4">
        <f t="shared" si="268"/>
        <v>3.3099999999994907</v>
      </c>
      <c r="K90" s="4">
        <f>C90-C89</f>
        <v>13.959999999999127</v>
      </c>
      <c r="L90" s="4">
        <f t="shared" ref="L90" si="290">D90-D89</f>
        <v>2.8099999999994907</v>
      </c>
      <c r="M90" s="4">
        <f t="shared" ref="M90" si="291">E90-E89</f>
        <v>0.54000000000019099</v>
      </c>
      <c r="N90" s="4">
        <f t="shared" ref="N90" si="292">F90-F89</f>
        <v>0.64000000000010004</v>
      </c>
      <c r="O90" s="4">
        <f t="shared" ref="O90" si="293">G90-G89</f>
        <v>1.6599999999998545</v>
      </c>
      <c r="P90" s="4"/>
      <c r="Q90" s="34">
        <f t="shared" si="266"/>
        <v>22.919999999998254</v>
      </c>
    </row>
    <row r="91" spans="1:18" x14ac:dyDescent="0.25">
      <c r="A91" s="10">
        <v>45878</v>
      </c>
      <c r="B91" s="11">
        <v>5213.66</v>
      </c>
      <c r="C91" s="11">
        <v>24632.25</v>
      </c>
      <c r="D91" s="11">
        <v>4899.32</v>
      </c>
      <c r="E91" s="11">
        <v>1033.1300000000001</v>
      </c>
      <c r="F91" s="11">
        <v>1039.3800000000001</v>
      </c>
      <c r="G91" s="11">
        <v>3009.94</v>
      </c>
      <c r="H91" s="11"/>
      <c r="I91" s="34">
        <f t="shared" ref="I91:I97" si="294">SUM(B91:G91)</f>
        <v>39827.679999999993</v>
      </c>
      <c r="J91" s="11">
        <f t="shared" ref="J91:J94" si="295">B91-B90</f>
        <v>0</v>
      </c>
      <c r="K91" s="11">
        <f t="shared" ref="K91:K94" si="296">C91-C90</f>
        <v>0</v>
      </c>
      <c r="L91" s="11">
        <f t="shared" ref="L91:L92" si="297">D91-D90</f>
        <v>0</v>
      </c>
      <c r="M91" s="11">
        <f t="shared" ref="M91:M92" si="298">E91-E90</f>
        <v>0</v>
      </c>
      <c r="N91" s="11">
        <f t="shared" ref="N91:N92" si="299">F91-F90</f>
        <v>0</v>
      </c>
      <c r="O91" s="11">
        <f t="shared" ref="O91:O92" si="300">G91-G90</f>
        <v>0</v>
      </c>
      <c r="P91" s="11"/>
      <c r="Q91" s="11"/>
    </row>
    <row r="92" spans="1:18" x14ac:dyDescent="0.25">
      <c r="A92" s="10">
        <v>45879</v>
      </c>
      <c r="B92" s="11">
        <v>5213.66</v>
      </c>
      <c r="C92" s="11">
        <v>24632.25</v>
      </c>
      <c r="D92" s="11">
        <v>4899.32</v>
      </c>
      <c r="E92" s="11">
        <v>1033.1300000000001</v>
      </c>
      <c r="F92" s="11">
        <v>1039.3800000000001</v>
      </c>
      <c r="G92" s="11">
        <v>3009.94</v>
      </c>
      <c r="H92" s="11"/>
      <c r="I92" s="34">
        <f t="shared" si="294"/>
        <v>39827.679999999993</v>
      </c>
      <c r="J92" s="11">
        <f t="shared" si="295"/>
        <v>0</v>
      </c>
      <c r="K92" s="11">
        <f t="shared" si="296"/>
        <v>0</v>
      </c>
      <c r="L92" s="11">
        <f t="shared" si="297"/>
        <v>0</v>
      </c>
      <c r="M92" s="11">
        <f t="shared" si="298"/>
        <v>0</v>
      </c>
      <c r="N92" s="11">
        <f t="shared" si="299"/>
        <v>0</v>
      </c>
      <c r="O92" s="11">
        <f t="shared" si="300"/>
        <v>0</v>
      </c>
      <c r="P92" s="11"/>
      <c r="Q92" s="11"/>
    </row>
    <row r="93" spans="1:18" x14ac:dyDescent="0.25">
      <c r="A93" s="3">
        <v>45880</v>
      </c>
      <c r="B93" s="4">
        <v>5216.97</v>
      </c>
      <c r="C93" s="4">
        <v>24645.65</v>
      </c>
      <c r="D93" s="4">
        <v>4902.13</v>
      </c>
      <c r="E93" s="4">
        <v>1033.67</v>
      </c>
      <c r="F93" s="4">
        <v>1040.02</v>
      </c>
      <c r="G93" s="4">
        <v>3011.6</v>
      </c>
      <c r="H93" s="4"/>
      <c r="I93" s="6">
        <f t="shared" si="294"/>
        <v>39850.039999999994</v>
      </c>
      <c r="J93" s="4">
        <f t="shared" si="295"/>
        <v>3.3100000000004002</v>
      </c>
      <c r="K93" s="4">
        <f t="shared" si="296"/>
        <v>13.400000000001455</v>
      </c>
      <c r="L93" s="4">
        <f t="shared" ref="L93" si="301">D93-D92</f>
        <v>2.8100000000004002</v>
      </c>
      <c r="M93" s="4">
        <f t="shared" ref="M93" si="302">E93-E92</f>
        <v>0.53999999999996362</v>
      </c>
      <c r="N93" s="4">
        <f t="shared" ref="N93" si="303">F93-F92</f>
        <v>0.63999999999987267</v>
      </c>
      <c r="O93" s="4">
        <f t="shared" ref="O93" si="304">G93-G92</f>
        <v>1.6599999999998545</v>
      </c>
      <c r="P93" s="4"/>
      <c r="Q93" s="51">
        <f t="shared" ref="Q93:Q94" si="305">SUM(J93:O93)</f>
        <v>22.360000000001946</v>
      </c>
    </row>
    <row r="94" spans="1:18" x14ac:dyDescent="0.25">
      <c r="A94" s="3">
        <v>45881</v>
      </c>
      <c r="B94" s="4">
        <v>5220.2700000000004</v>
      </c>
      <c r="C94" s="4">
        <v>24658.79</v>
      </c>
      <c r="D94" s="4">
        <v>4904.9399999999996</v>
      </c>
      <c r="E94" s="4">
        <v>1034.21</v>
      </c>
      <c r="F94" s="4">
        <v>1040.67</v>
      </c>
      <c r="G94" s="4">
        <v>3013.26</v>
      </c>
      <c r="H94" s="4"/>
      <c r="I94" s="6">
        <f t="shared" si="294"/>
        <v>39872.14</v>
      </c>
      <c r="J94" s="4">
        <f t="shared" si="295"/>
        <v>3.3000000000001819</v>
      </c>
      <c r="K94" s="4">
        <f t="shared" si="296"/>
        <v>13.139999999999418</v>
      </c>
      <c r="L94" s="4">
        <f t="shared" ref="L94" si="306">D94-D93</f>
        <v>2.8099999999994907</v>
      </c>
      <c r="M94" s="4">
        <f t="shared" ref="M94" si="307">E94-E93</f>
        <v>0.53999999999996362</v>
      </c>
      <c r="N94" s="4">
        <f t="shared" ref="N94" si="308">F94-F93</f>
        <v>0.65000000000009095</v>
      </c>
      <c r="O94" s="4">
        <f t="shared" ref="O94" si="309">G94-G93</f>
        <v>1.6600000000003092</v>
      </c>
      <c r="P94" s="4"/>
      <c r="Q94" s="51">
        <f t="shared" si="305"/>
        <v>22.099999999999454</v>
      </c>
    </row>
    <row r="95" spans="1:18" x14ac:dyDescent="0.25">
      <c r="A95" s="3">
        <v>45882</v>
      </c>
      <c r="B95" s="4">
        <v>5223.58</v>
      </c>
      <c r="C95" s="4">
        <v>24672.53</v>
      </c>
      <c r="D95" s="4">
        <v>4907.75</v>
      </c>
      <c r="E95" s="4">
        <v>1034.75</v>
      </c>
      <c r="F95" s="4">
        <v>1041.31</v>
      </c>
      <c r="G95" s="4">
        <v>3014.92</v>
      </c>
      <c r="H95" s="4"/>
      <c r="I95" s="6">
        <f t="shared" si="294"/>
        <v>39894.839999999997</v>
      </c>
      <c r="J95" s="4">
        <f t="shared" ref="J95" si="310">B95-B94</f>
        <v>3.3099999999994907</v>
      </c>
      <c r="K95" s="4">
        <f t="shared" ref="K95" si="311">C95-C94</f>
        <v>13.739999999997963</v>
      </c>
      <c r="L95" s="4">
        <f t="shared" ref="L95" si="312">D95-D94</f>
        <v>2.8100000000004002</v>
      </c>
      <c r="M95" s="4">
        <f t="shared" ref="M95" si="313">E95-E94</f>
        <v>0.53999999999996362</v>
      </c>
      <c r="N95" s="4">
        <f t="shared" ref="N95" si="314">F95-F94</f>
        <v>0.63999999999987267</v>
      </c>
      <c r="O95" s="4">
        <f t="shared" ref="O95" si="315">G95-G94</f>
        <v>1.6599999999998545</v>
      </c>
      <c r="P95" s="4"/>
      <c r="Q95" s="51">
        <f t="shared" ref="Q95" si="316">SUM(J95:O95)</f>
        <v>22.699999999997544</v>
      </c>
    </row>
    <row r="96" spans="1:18" x14ac:dyDescent="0.25">
      <c r="A96" s="3">
        <v>45883</v>
      </c>
      <c r="B96" s="4">
        <v>5226.8900000000003</v>
      </c>
      <c r="C96" s="4">
        <v>24685.95</v>
      </c>
      <c r="D96" s="4">
        <v>4910.5600000000004</v>
      </c>
      <c r="E96" s="4">
        <v>1035.28</v>
      </c>
      <c r="F96" s="4">
        <v>1041.95</v>
      </c>
      <c r="G96" s="4">
        <v>3016.58</v>
      </c>
      <c r="H96" s="4"/>
      <c r="I96" s="6">
        <f t="shared" si="294"/>
        <v>39917.21</v>
      </c>
      <c r="J96" s="4">
        <f t="shared" ref="J96:J97" si="317">B96-B95</f>
        <v>3.3100000000004002</v>
      </c>
      <c r="K96" s="4">
        <f t="shared" ref="K96:K97" si="318">C96-C95</f>
        <v>13.420000000001892</v>
      </c>
      <c r="L96" s="4">
        <f t="shared" ref="L96" si="319">D96-D95</f>
        <v>2.8100000000004002</v>
      </c>
      <c r="M96" s="4">
        <f t="shared" ref="M96" si="320">E96-E95</f>
        <v>0.52999999999997272</v>
      </c>
      <c r="N96" s="4">
        <f t="shared" ref="N96" si="321">F96-F95</f>
        <v>0.64000000000010004</v>
      </c>
      <c r="O96" s="4">
        <f t="shared" ref="O96" si="322">G96-G95</f>
        <v>1.6599999999998545</v>
      </c>
      <c r="P96" s="4"/>
      <c r="Q96" s="51">
        <f t="shared" ref="Q96:Q97" si="323">SUM(J96:O96)</f>
        <v>22.370000000002619</v>
      </c>
    </row>
    <row r="97" spans="1:17" x14ac:dyDescent="0.25">
      <c r="A97" s="3">
        <v>45884</v>
      </c>
      <c r="B97" s="4">
        <v>5230.2</v>
      </c>
      <c r="C97" s="4">
        <v>24699.34</v>
      </c>
      <c r="D97" s="4">
        <v>4913.38</v>
      </c>
      <c r="E97" s="4">
        <v>1035.82</v>
      </c>
      <c r="F97" s="4">
        <v>1042.5999999999999</v>
      </c>
      <c r="G97" s="4">
        <v>3018.25</v>
      </c>
      <c r="H97" s="4"/>
      <c r="I97" s="6">
        <f t="shared" si="294"/>
        <v>39939.589999999997</v>
      </c>
      <c r="J97" s="4">
        <f t="shared" si="317"/>
        <v>3.3099999999994907</v>
      </c>
      <c r="K97" s="4">
        <f t="shared" si="318"/>
        <v>13.389999999999418</v>
      </c>
      <c r="L97" s="4">
        <f t="shared" ref="L97" si="324">D97-D96</f>
        <v>2.819999999999709</v>
      </c>
      <c r="M97" s="4">
        <f t="shared" ref="M97" si="325">E97-E96</f>
        <v>0.53999999999996362</v>
      </c>
      <c r="N97" s="4">
        <f t="shared" ref="N97" si="326">F97-F96</f>
        <v>0.64999999999986358</v>
      </c>
      <c r="O97" s="4">
        <f t="shared" ref="O97" si="327">G97-G96</f>
        <v>1.6700000000000728</v>
      </c>
      <c r="P97" s="4"/>
      <c r="Q97" s="51">
        <f t="shared" si="323"/>
        <v>22.379999999998518</v>
      </c>
    </row>
    <row r="98" spans="1:17" x14ac:dyDescent="0.25">
      <c r="A98" s="10">
        <v>45885</v>
      </c>
      <c r="B98" s="11">
        <v>5230.2</v>
      </c>
      <c r="C98" s="11">
        <v>24699.34</v>
      </c>
      <c r="D98" s="11">
        <v>4913.38</v>
      </c>
      <c r="E98" s="11">
        <v>1035.82</v>
      </c>
      <c r="F98" s="11">
        <v>1042.5999999999999</v>
      </c>
      <c r="G98" s="11">
        <v>3018.25</v>
      </c>
      <c r="H98" s="11"/>
      <c r="I98" s="34">
        <f t="shared" ref="I98:I104" si="328">SUM(B98:G98)</f>
        <v>39939.589999999997</v>
      </c>
      <c r="J98" s="11">
        <f t="shared" ref="J98:J102" si="329">B98-B97</f>
        <v>0</v>
      </c>
      <c r="K98" s="11">
        <f t="shared" ref="K98:K102" si="330">C98-C97</f>
        <v>0</v>
      </c>
      <c r="L98" s="11">
        <f t="shared" ref="L98:L99" si="331">D98-D97</f>
        <v>0</v>
      </c>
      <c r="M98" s="11">
        <f t="shared" ref="M98:M99" si="332">E98-E97</f>
        <v>0</v>
      </c>
      <c r="N98" s="11">
        <f t="shared" ref="N98:N99" si="333">F98-F97</f>
        <v>0</v>
      </c>
      <c r="O98" s="11">
        <f t="shared" ref="O98:O99" si="334">G98-G97</f>
        <v>0</v>
      </c>
      <c r="P98" s="11"/>
      <c r="Q98" s="11"/>
    </row>
    <row r="99" spans="1:17" x14ac:dyDescent="0.25">
      <c r="A99" s="10">
        <v>45886</v>
      </c>
      <c r="B99" s="11">
        <v>5230.2</v>
      </c>
      <c r="C99" s="11">
        <v>24699.34</v>
      </c>
      <c r="D99" s="11">
        <v>4913.38</v>
      </c>
      <c r="E99" s="11">
        <v>1035.82</v>
      </c>
      <c r="F99" s="11">
        <v>1042.5999999999999</v>
      </c>
      <c r="G99" s="11">
        <v>3018.25</v>
      </c>
      <c r="H99" s="11"/>
      <c r="I99" s="34">
        <f t="shared" si="328"/>
        <v>39939.589999999997</v>
      </c>
      <c r="J99" s="11">
        <f t="shared" si="329"/>
        <v>0</v>
      </c>
      <c r="K99" s="11">
        <f t="shared" si="330"/>
        <v>0</v>
      </c>
      <c r="L99" s="11">
        <f t="shared" si="331"/>
        <v>0</v>
      </c>
      <c r="M99" s="11">
        <f t="shared" si="332"/>
        <v>0</v>
      </c>
      <c r="N99" s="11">
        <f t="shared" si="333"/>
        <v>0</v>
      </c>
      <c r="O99" s="11">
        <f t="shared" si="334"/>
        <v>0</v>
      </c>
      <c r="P99" s="11"/>
      <c r="Q99" s="11"/>
    </row>
    <row r="100" spans="1:17" x14ac:dyDescent="0.25">
      <c r="A100" s="3">
        <v>45887</v>
      </c>
      <c r="B100" s="4">
        <v>5233.5200000000004</v>
      </c>
      <c r="C100" s="4">
        <v>24712.31</v>
      </c>
      <c r="D100" s="4">
        <v>4916.21</v>
      </c>
      <c r="E100" s="4">
        <v>1036.3599999999999</v>
      </c>
      <c r="F100" s="4">
        <v>1043.24</v>
      </c>
      <c r="G100" s="4">
        <v>3019.91</v>
      </c>
      <c r="H100" s="4"/>
      <c r="I100" s="6">
        <f t="shared" si="328"/>
        <v>39961.550000000003</v>
      </c>
      <c r="J100" s="4">
        <f t="shared" si="329"/>
        <v>3.3200000000006185</v>
      </c>
      <c r="K100" s="4">
        <f t="shared" si="330"/>
        <v>12.970000000001164</v>
      </c>
      <c r="L100" s="4">
        <f t="shared" ref="L100" si="335">D100-D99</f>
        <v>2.8299999999999272</v>
      </c>
      <c r="M100" s="4">
        <f t="shared" ref="M100" si="336">E100-E99</f>
        <v>0.53999999999996362</v>
      </c>
      <c r="N100" s="4">
        <f t="shared" ref="N100" si="337">F100-F99</f>
        <v>0.64000000000010004</v>
      </c>
      <c r="O100" s="4">
        <f t="shared" ref="O100" si="338">G100-G99</f>
        <v>1.6599999999998545</v>
      </c>
      <c r="P100" s="4"/>
      <c r="Q100" s="34">
        <f>SUM(J100:O100)</f>
        <v>21.960000000001628</v>
      </c>
    </row>
    <row r="101" spans="1:17" x14ac:dyDescent="0.25">
      <c r="A101" s="3">
        <v>45888</v>
      </c>
      <c r="B101" s="4">
        <v>5236.83</v>
      </c>
      <c r="C101" s="4">
        <v>24725.91</v>
      </c>
      <c r="D101" s="4">
        <v>4919.0200000000004</v>
      </c>
      <c r="E101" s="4">
        <v>1036.9000000000001</v>
      </c>
      <c r="F101" s="4">
        <v>1043.8800000000001</v>
      </c>
      <c r="G101" s="4">
        <v>3021.58</v>
      </c>
      <c r="H101" s="4"/>
      <c r="I101" s="6">
        <f t="shared" si="328"/>
        <v>39984.119999999995</v>
      </c>
      <c r="J101" s="4">
        <f t="shared" si="329"/>
        <v>3.3099999999994907</v>
      </c>
      <c r="K101" s="4">
        <f t="shared" si="330"/>
        <v>13.599999999998545</v>
      </c>
      <c r="L101" s="4">
        <f t="shared" ref="L101" si="339">D101-D100</f>
        <v>2.8100000000004002</v>
      </c>
      <c r="M101" s="4">
        <f t="shared" ref="M101" si="340">E101-E100</f>
        <v>0.54000000000019099</v>
      </c>
      <c r="N101" s="4">
        <f t="shared" ref="N101" si="341">F101-F100</f>
        <v>0.64000000000010004</v>
      </c>
      <c r="O101" s="4">
        <f t="shared" ref="O101" si="342">G101-G100</f>
        <v>1.6700000000000728</v>
      </c>
      <c r="P101" s="4"/>
      <c r="Q101" s="34">
        <f>SUM(J101:O101)</f>
        <v>22.569999999998799</v>
      </c>
    </row>
    <row r="102" spans="1:17" x14ac:dyDescent="0.25">
      <c r="A102" s="3">
        <v>45889</v>
      </c>
      <c r="B102" s="4">
        <v>5240.16</v>
      </c>
      <c r="C102" s="4">
        <v>24739.439999999999</v>
      </c>
      <c r="D102" s="4">
        <v>4921.83</v>
      </c>
      <c r="E102" s="4">
        <v>1037.44</v>
      </c>
      <c r="F102" s="4">
        <v>1044.53</v>
      </c>
      <c r="G102" s="4">
        <v>3023.24</v>
      </c>
      <c r="H102" s="4"/>
      <c r="I102" s="6">
        <f t="shared" si="328"/>
        <v>40006.639999999999</v>
      </c>
      <c r="J102" s="4">
        <f t="shared" si="329"/>
        <v>3.3299999999999272</v>
      </c>
      <c r="K102" s="4">
        <f t="shared" si="330"/>
        <v>13.529999999998836</v>
      </c>
      <c r="L102" s="4">
        <f t="shared" ref="L102" si="343">D102-D101</f>
        <v>2.8099999999994907</v>
      </c>
      <c r="M102" s="4">
        <f t="shared" ref="M102" si="344">E102-E101</f>
        <v>0.53999999999996362</v>
      </c>
      <c r="N102" s="4">
        <f t="shared" ref="N102" si="345">F102-F101</f>
        <v>0.64999999999986358</v>
      </c>
      <c r="O102" s="4">
        <f t="shared" ref="O102" si="346">G102-G101</f>
        <v>1.6599999999998545</v>
      </c>
      <c r="P102" s="4"/>
      <c r="Q102" s="34">
        <f>SUM(J102:O102)</f>
        <v>22.519999999997935</v>
      </c>
    </row>
    <row r="103" spans="1:17" x14ac:dyDescent="0.25">
      <c r="A103" s="3">
        <v>45890</v>
      </c>
      <c r="B103" s="4">
        <v>5243.48</v>
      </c>
      <c r="C103" s="4">
        <v>24753.33</v>
      </c>
      <c r="D103" s="4">
        <v>4924.6499999999996</v>
      </c>
      <c r="E103" s="4">
        <v>1037.98</v>
      </c>
      <c r="F103" s="4">
        <v>1045.17</v>
      </c>
      <c r="G103" s="4">
        <v>3024.91</v>
      </c>
      <c r="H103" s="4"/>
      <c r="I103" s="6">
        <f t="shared" si="328"/>
        <v>40029.520000000004</v>
      </c>
      <c r="J103" s="4">
        <f t="shared" ref="J103:J104" si="347">B103-B102</f>
        <v>3.319999999999709</v>
      </c>
      <c r="K103" s="4">
        <f t="shared" ref="K103:K104" si="348">C103-C102</f>
        <v>13.890000000003056</v>
      </c>
      <c r="L103" s="4">
        <f t="shared" ref="L103" si="349">D103-D102</f>
        <v>2.819999999999709</v>
      </c>
      <c r="M103" s="4">
        <f t="shared" ref="M103" si="350">E103-E102</f>
        <v>0.53999999999996362</v>
      </c>
      <c r="N103" s="4">
        <f t="shared" ref="N103" si="351">F103-F102</f>
        <v>0.64000000000010004</v>
      </c>
      <c r="O103" s="4">
        <f t="shared" ref="O103" si="352">G103-G102</f>
        <v>1.6700000000000728</v>
      </c>
      <c r="P103" s="4"/>
      <c r="Q103" s="34">
        <f>SUM(J103:O103)</f>
        <v>22.88000000000261</v>
      </c>
    </row>
    <row r="104" spans="1:17" x14ac:dyDescent="0.25">
      <c r="A104" s="3">
        <v>45891</v>
      </c>
      <c r="B104" s="4">
        <v>5246.8</v>
      </c>
      <c r="C104" s="4">
        <v>24766.45</v>
      </c>
      <c r="D104" s="4">
        <v>4927.47</v>
      </c>
      <c r="E104" s="4">
        <v>1038.53</v>
      </c>
      <c r="F104" s="4">
        <v>1045.82</v>
      </c>
      <c r="G104" s="4">
        <v>3026.57</v>
      </c>
      <c r="H104" s="4"/>
      <c r="I104" s="6">
        <f t="shared" si="328"/>
        <v>40051.64</v>
      </c>
      <c r="J104" s="4">
        <f t="shared" si="347"/>
        <v>3.3200000000006185</v>
      </c>
      <c r="K104" s="4">
        <f t="shared" si="348"/>
        <v>13.119999999998981</v>
      </c>
      <c r="L104" s="4">
        <f t="shared" ref="L104" si="353">D104-D103</f>
        <v>2.8200000000006185</v>
      </c>
      <c r="M104" s="4">
        <f t="shared" ref="M104" si="354">E104-E103</f>
        <v>0.54999999999995453</v>
      </c>
      <c r="N104" s="4">
        <f t="shared" ref="N104" si="355">F104-F103</f>
        <v>0.64999999999986358</v>
      </c>
      <c r="O104" s="4">
        <f t="shared" ref="O104" si="356">G104-G103</f>
        <v>1.6600000000003092</v>
      </c>
      <c r="P104" s="4"/>
      <c r="Q104" s="34">
        <f>SUM(J104:O104)</f>
        <v>22.120000000000346</v>
      </c>
    </row>
    <row r="105" spans="1:17" x14ac:dyDescent="0.25">
      <c r="A105" s="10">
        <v>45892</v>
      </c>
      <c r="B105" s="11">
        <v>5246.8</v>
      </c>
      <c r="C105" s="11">
        <v>24766.45</v>
      </c>
      <c r="D105" s="11">
        <v>4927.47</v>
      </c>
      <c r="E105" s="11">
        <v>1038.53</v>
      </c>
      <c r="F105" s="11">
        <v>1045.82</v>
      </c>
      <c r="G105" s="11">
        <v>3026.57</v>
      </c>
      <c r="H105" s="11"/>
      <c r="I105" s="34">
        <f t="shared" ref="I105:I113" si="357">SUM(B105:G105)</f>
        <v>40051.64</v>
      </c>
      <c r="J105" s="11">
        <f t="shared" ref="J105:J107" si="358">B105-B104</f>
        <v>0</v>
      </c>
      <c r="K105" s="11">
        <f t="shared" ref="K105:K107" si="359">C105-C104</f>
        <v>0</v>
      </c>
      <c r="L105" s="11">
        <f t="shared" ref="L105:L106" si="360">D105-D104</f>
        <v>0</v>
      </c>
      <c r="M105" s="11">
        <f t="shared" ref="M105:M106" si="361">E105-E104</f>
        <v>0</v>
      </c>
      <c r="N105" s="11">
        <f t="shared" ref="N105:N106" si="362">F105-F104</f>
        <v>0</v>
      </c>
      <c r="O105" s="11">
        <f t="shared" ref="O105:O106" si="363">G105-G104</f>
        <v>0</v>
      </c>
      <c r="P105" s="11"/>
      <c r="Q105" s="11"/>
    </row>
    <row r="106" spans="1:17" x14ac:dyDescent="0.25">
      <c r="A106" s="10">
        <v>45893</v>
      </c>
      <c r="B106" s="11">
        <v>5246.8</v>
      </c>
      <c r="C106" s="11">
        <v>24766.45</v>
      </c>
      <c r="D106" s="11">
        <v>4927.47</v>
      </c>
      <c r="E106" s="11">
        <v>1038.53</v>
      </c>
      <c r="F106" s="11">
        <v>1045.82</v>
      </c>
      <c r="G106" s="11">
        <v>3026.57</v>
      </c>
      <c r="H106" s="11"/>
      <c r="I106" s="34">
        <f t="shared" si="357"/>
        <v>40051.64</v>
      </c>
      <c r="J106" s="11">
        <f t="shared" si="358"/>
        <v>0</v>
      </c>
      <c r="K106" s="11">
        <f t="shared" si="359"/>
        <v>0</v>
      </c>
      <c r="L106" s="11">
        <f t="shared" si="360"/>
        <v>0</v>
      </c>
      <c r="M106" s="11">
        <f t="shared" si="361"/>
        <v>0</v>
      </c>
      <c r="N106" s="11">
        <f t="shared" si="362"/>
        <v>0</v>
      </c>
      <c r="O106" s="11">
        <f t="shared" si="363"/>
        <v>0</v>
      </c>
      <c r="P106" s="11"/>
      <c r="Q106" s="11"/>
    </row>
    <row r="107" spans="1:17" x14ac:dyDescent="0.25">
      <c r="A107" s="3">
        <v>45894</v>
      </c>
      <c r="B107" s="4">
        <v>5250.13</v>
      </c>
      <c r="C107" s="4">
        <v>24780.16</v>
      </c>
      <c r="D107" s="4">
        <v>4930.32</v>
      </c>
      <c r="E107" s="4">
        <v>1039.07</v>
      </c>
      <c r="F107" s="4">
        <v>1046.46</v>
      </c>
      <c r="G107" s="4">
        <v>3028.24</v>
      </c>
      <c r="H107" s="4"/>
      <c r="I107" s="6">
        <f t="shared" si="357"/>
        <v>40074.379999999997</v>
      </c>
      <c r="J107" s="4">
        <f t="shared" si="358"/>
        <v>3.3299999999999272</v>
      </c>
      <c r="K107" s="7">
        <f t="shared" si="359"/>
        <v>13.709999999999127</v>
      </c>
      <c r="L107" s="4">
        <f t="shared" ref="L107" si="364">D107-D106</f>
        <v>2.8499999999994543</v>
      </c>
      <c r="M107" s="4">
        <f t="shared" ref="M107" si="365">E107-E106</f>
        <v>0.53999999999996362</v>
      </c>
      <c r="N107" s="4">
        <f t="shared" ref="N107" si="366">F107-F106</f>
        <v>0.64000000000010004</v>
      </c>
      <c r="O107" s="4">
        <f t="shared" ref="O107" si="367">G107-G106</f>
        <v>1.669999999999618</v>
      </c>
      <c r="P107" s="4"/>
      <c r="Q107" s="34">
        <f t="shared" ref="Q107" si="368">SUM(J107:O107)</f>
        <v>22.73999999999819</v>
      </c>
    </row>
    <row r="108" spans="1:17" x14ac:dyDescent="0.25">
      <c r="A108" s="3">
        <v>45895</v>
      </c>
      <c r="B108" s="4">
        <v>5253.46</v>
      </c>
      <c r="C108" s="4">
        <v>24795.31</v>
      </c>
      <c r="D108" s="4">
        <v>4933.1400000000003</v>
      </c>
      <c r="E108" s="4">
        <v>1039.9100000000001</v>
      </c>
      <c r="F108" s="4">
        <v>1047.1099999999999</v>
      </c>
      <c r="G108" s="4">
        <v>3029.91</v>
      </c>
      <c r="H108" s="4"/>
      <c r="I108" s="6">
        <f t="shared" si="357"/>
        <v>40098.840000000011</v>
      </c>
      <c r="J108" s="4">
        <f t="shared" ref="J108" si="369">B108-B107</f>
        <v>3.3299999999999272</v>
      </c>
      <c r="K108" s="7">
        <f t="shared" ref="K108" si="370">C108-C107</f>
        <v>15.150000000001455</v>
      </c>
      <c r="L108" s="4">
        <f t="shared" ref="L108" si="371">D108-D107</f>
        <v>2.8200000000006185</v>
      </c>
      <c r="M108" s="4">
        <f t="shared" ref="M108" si="372">E108-E107</f>
        <v>0.84000000000014552</v>
      </c>
      <c r="N108" s="4">
        <f t="shared" ref="N108" si="373">F108-F107</f>
        <v>0.64999999999986358</v>
      </c>
      <c r="O108" s="4">
        <f t="shared" ref="O108" si="374">G108-G107</f>
        <v>1.6700000000000728</v>
      </c>
      <c r="P108" s="4"/>
      <c r="Q108" s="34">
        <f t="shared" ref="Q108" si="375">SUM(J108:O108)</f>
        <v>24.460000000002083</v>
      </c>
    </row>
    <row r="109" spans="1:17" x14ac:dyDescent="0.25">
      <c r="A109" s="3">
        <v>45896</v>
      </c>
      <c r="B109" s="4">
        <v>5256.79</v>
      </c>
      <c r="C109" s="4">
        <v>24808.78</v>
      </c>
      <c r="D109" s="4">
        <v>4935.95</v>
      </c>
      <c r="E109" s="4">
        <v>1040.1500000000001</v>
      </c>
      <c r="F109" s="4">
        <v>1047.76</v>
      </c>
      <c r="G109" s="4">
        <v>3031.58</v>
      </c>
      <c r="H109" s="4"/>
      <c r="I109" s="6">
        <f t="shared" si="357"/>
        <v>40121.01</v>
      </c>
      <c r="J109" s="4">
        <f t="shared" ref="J109" si="376">B109-B108</f>
        <v>3.3299999999999272</v>
      </c>
      <c r="K109" s="7">
        <f t="shared" ref="K109" si="377">C109-C108</f>
        <v>13.469999999997526</v>
      </c>
      <c r="L109" s="4">
        <f t="shared" ref="L109" si="378">D109-D108</f>
        <v>2.8099999999994907</v>
      </c>
      <c r="M109" s="4">
        <f t="shared" ref="M109" si="379">E109-E108</f>
        <v>0.24000000000000909</v>
      </c>
      <c r="N109" s="4">
        <f t="shared" ref="N109" si="380">F109-F108</f>
        <v>0.65000000000009095</v>
      </c>
      <c r="O109" s="4">
        <f t="shared" ref="O109" si="381">G109-G108</f>
        <v>1.6700000000000728</v>
      </c>
      <c r="P109" s="4"/>
      <c r="Q109" s="34">
        <f t="shared" ref="Q109" si="382">SUM(J109:O109)</f>
        <v>22.169999999997117</v>
      </c>
    </row>
    <row r="110" spans="1:17" x14ac:dyDescent="0.25">
      <c r="A110" s="3">
        <v>45897</v>
      </c>
      <c r="B110" s="4">
        <v>5260.12</v>
      </c>
      <c r="C110" s="4">
        <v>24821.95</v>
      </c>
      <c r="D110" s="4">
        <v>4938.8</v>
      </c>
      <c r="E110" s="4">
        <v>1040.69</v>
      </c>
      <c r="F110" s="4">
        <v>1048.4000000000001</v>
      </c>
      <c r="G110" s="4">
        <v>3033.25</v>
      </c>
      <c r="H110" s="4"/>
      <c r="I110" s="6">
        <f t="shared" si="357"/>
        <v>40143.210000000006</v>
      </c>
      <c r="J110" s="4">
        <f t="shared" ref="J110" si="383">B110-B109</f>
        <v>3.3299999999999272</v>
      </c>
      <c r="K110" s="7">
        <f t="shared" ref="K110:K111" si="384">C110-C109</f>
        <v>13.170000000001892</v>
      </c>
      <c r="L110" s="4">
        <f t="shared" ref="L110" si="385">D110-D109</f>
        <v>2.8500000000003638</v>
      </c>
      <c r="M110" s="4">
        <f t="shared" ref="M110" si="386">E110-E109</f>
        <v>0.53999999999996362</v>
      </c>
      <c r="N110" s="4">
        <f t="shared" ref="N110" si="387">F110-F109</f>
        <v>0.64000000000010004</v>
      </c>
      <c r="O110" s="4">
        <f t="shared" ref="O110" si="388">G110-G109</f>
        <v>1.6700000000000728</v>
      </c>
      <c r="P110" s="4"/>
      <c r="Q110" s="34">
        <f t="shared" ref="Q110:Q111" si="389">SUM(J110:O110)</f>
        <v>22.200000000002319</v>
      </c>
    </row>
    <row r="111" spans="1:17" x14ac:dyDescent="0.25">
      <c r="A111" s="3">
        <v>45898</v>
      </c>
      <c r="B111" s="4">
        <v>5263.47</v>
      </c>
      <c r="C111" s="4">
        <v>24836.46</v>
      </c>
      <c r="D111" s="4">
        <v>4941.62</v>
      </c>
      <c r="E111" s="4">
        <v>1041.23</v>
      </c>
      <c r="F111" s="4">
        <v>1049.05</v>
      </c>
      <c r="G111" s="4">
        <v>3034.92</v>
      </c>
      <c r="H111" s="4"/>
      <c r="I111" s="6">
        <f t="shared" si="357"/>
        <v>40166.750000000007</v>
      </c>
      <c r="J111" s="4">
        <f t="shared" ref="J111:J113" si="390">B111-B110</f>
        <v>3.3500000000003638</v>
      </c>
      <c r="K111" s="7">
        <f t="shared" si="384"/>
        <v>14.509999999998399</v>
      </c>
      <c r="L111" s="4">
        <f>D111-D110</f>
        <v>2.819999999999709</v>
      </c>
      <c r="M111" s="4">
        <f t="shared" ref="M111:M113" si="391">E111-E110</f>
        <v>0.53999999999996362</v>
      </c>
      <c r="N111" s="4">
        <f t="shared" ref="N111:N113" si="392">F111-F110</f>
        <v>0.64999999999986358</v>
      </c>
      <c r="O111" s="4">
        <f t="shared" ref="O111:O113" si="393">G111-G110</f>
        <v>1.6700000000000728</v>
      </c>
      <c r="P111" s="4"/>
      <c r="Q111" s="34">
        <f t="shared" si="389"/>
        <v>23.539999999998372</v>
      </c>
    </row>
    <row r="112" spans="1:17" x14ac:dyDescent="0.25">
      <c r="A112" s="10">
        <v>45899</v>
      </c>
      <c r="B112" s="11">
        <v>5263.47</v>
      </c>
      <c r="C112" s="11">
        <v>24836.46</v>
      </c>
      <c r="D112" s="11">
        <v>4941.62</v>
      </c>
      <c r="E112" s="11">
        <v>1041.23</v>
      </c>
      <c r="F112" s="11">
        <v>1049.05</v>
      </c>
      <c r="G112" s="11">
        <v>3034.92</v>
      </c>
      <c r="H112" s="11"/>
      <c r="I112" s="34">
        <f t="shared" si="357"/>
        <v>40166.750000000007</v>
      </c>
      <c r="J112" s="11">
        <f t="shared" si="390"/>
        <v>0</v>
      </c>
      <c r="K112" s="11">
        <f>C112-C111</f>
        <v>0</v>
      </c>
      <c r="L112" s="11">
        <f>D112-D111</f>
        <v>0</v>
      </c>
      <c r="M112" s="11">
        <f t="shared" si="391"/>
        <v>0</v>
      </c>
      <c r="N112" s="11">
        <f t="shared" si="392"/>
        <v>0</v>
      </c>
      <c r="O112" s="11">
        <f t="shared" si="393"/>
        <v>0</v>
      </c>
      <c r="P112" s="11"/>
      <c r="Q112" s="34"/>
    </row>
    <row r="113" spans="1:18" x14ac:dyDescent="0.25">
      <c r="A113" s="10">
        <v>45900</v>
      </c>
      <c r="B113" s="11">
        <v>5263.47</v>
      </c>
      <c r="C113" s="11">
        <v>24836.46</v>
      </c>
      <c r="D113" s="11">
        <v>4941.62</v>
      </c>
      <c r="E113" s="11">
        <v>1041.23</v>
      </c>
      <c r="F113" s="11">
        <v>1049.05</v>
      </c>
      <c r="G113" s="11">
        <v>3034.92</v>
      </c>
      <c r="H113" s="11"/>
      <c r="I113" s="34">
        <f t="shared" si="357"/>
        <v>40166.750000000007</v>
      </c>
      <c r="J113" s="11">
        <f t="shared" si="390"/>
        <v>0</v>
      </c>
      <c r="K113" s="11">
        <f>C113-C112</f>
        <v>0</v>
      </c>
      <c r="L113" s="11">
        <f>D113-D112</f>
        <v>0</v>
      </c>
      <c r="M113" s="11">
        <f t="shared" si="391"/>
        <v>0</v>
      </c>
      <c r="N113" s="11">
        <f t="shared" si="392"/>
        <v>0</v>
      </c>
      <c r="O113" s="11">
        <f t="shared" si="393"/>
        <v>0</v>
      </c>
      <c r="P113" s="11"/>
      <c r="Q113" s="34"/>
    </row>
    <row r="114" spans="1:18" x14ac:dyDescent="0.25">
      <c r="A114" s="5" t="s">
        <v>6</v>
      </c>
      <c r="B114" s="48"/>
      <c r="C114" s="48"/>
      <c r="D114" s="48"/>
      <c r="E114" s="48"/>
      <c r="F114" s="48"/>
      <c r="G114" s="48"/>
      <c r="H114" s="48"/>
      <c r="I114" s="48"/>
      <c r="J114" s="6">
        <f>SUM(J83:J113)</f>
        <v>69.600000000000364</v>
      </c>
      <c r="K114" s="6">
        <f t="shared" ref="K114:Q114" si="394">SUM(K83:K113)</f>
        <v>286.32999999999811</v>
      </c>
      <c r="L114" s="6">
        <f t="shared" si="394"/>
        <v>59.119999999999891</v>
      </c>
      <c r="M114" s="6">
        <f t="shared" si="394"/>
        <v>11.319999999999936</v>
      </c>
      <c r="N114" s="6">
        <f t="shared" si="394"/>
        <v>13.509999999999991</v>
      </c>
      <c r="O114" s="6">
        <f t="shared" si="394"/>
        <v>34.920000000000073</v>
      </c>
      <c r="P114" s="6"/>
      <c r="Q114" s="6">
        <f t="shared" si="394"/>
        <v>474.79999999999836</v>
      </c>
    </row>
    <row r="115" spans="1:18" x14ac:dyDescent="0.25">
      <c r="J115" s="54">
        <f t="shared" ref="J115:O115" si="395">(J114/B83)</f>
        <v>1.3391929438385651E-2</v>
      </c>
      <c r="K115" s="54">
        <f t="shared" si="395"/>
        <v>1.1656954234454807E-2</v>
      </c>
      <c r="L115" s="54">
        <f t="shared" si="395"/>
        <v>1.2101635726845262E-2</v>
      </c>
      <c r="M115" s="54">
        <f t="shared" si="395"/>
        <v>1.0985598385155794E-2</v>
      </c>
      <c r="N115" s="54">
        <f t="shared" si="395"/>
        <v>1.3038275203150023E-2</v>
      </c>
      <c r="O115" s="54">
        <f t="shared" si="395"/>
        <v>1.1633601519164483E-2</v>
      </c>
      <c r="P115" s="54"/>
      <c r="Q115" s="54">
        <f t="shared" ref="Q115" si="396">(Q114/I83)</f>
        <v>1.1955559964888684E-2</v>
      </c>
      <c r="R115" s="52"/>
    </row>
    <row r="117" spans="1:18" x14ac:dyDescent="0.25">
      <c r="A117" s="3">
        <v>45901</v>
      </c>
      <c r="B117" s="4">
        <v>5266.8</v>
      </c>
      <c r="C117" s="4">
        <v>24850.45</v>
      </c>
      <c r="D117" s="4">
        <v>4944.4549999999999</v>
      </c>
      <c r="E117" s="4">
        <v>1041.7750000000001</v>
      </c>
      <c r="F117" s="4">
        <v>1049.6999999999998</v>
      </c>
      <c r="G117" s="4">
        <v>3036.875</v>
      </c>
      <c r="H117" s="4"/>
      <c r="I117" s="6">
        <f t="shared" ref="I117:I135" si="397">SUM(B117:G117)</f>
        <v>40190.055</v>
      </c>
      <c r="J117" s="4">
        <f t="shared" ref="J117:O117" si="398">B117-B113</f>
        <v>3.3299999999999272</v>
      </c>
      <c r="K117" s="4">
        <f t="shared" si="398"/>
        <v>13.990000000001601</v>
      </c>
      <c r="L117" s="4">
        <f t="shared" si="398"/>
        <v>2.8350000000000364</v>
      </c>
      <c r="M117" s="4">
        <f t="shared" si="398"/>
        <v>0.54500000000007276</v>
      </c>
      <c r="N117" s="4">
        <f t="shared" si="398"/>
        <v>0.64999999999986358</v>
      </c>
      <c r="O117" s="4">
        <f t="shared" si="398"/>
        <v>1.9549999999999272</v>
      </c>
      <c r="P117" s="4"/>
      <c r="Q117" s="26">
        <f>SUM(J117:O117)</f>
        <v>23.305000000001428</v>
      </c>
      <c r="R117" s="26">
        <f>AVERAGE(Q117:Q146)</f>
        <v>24.409999999999936</v>
      </c>
    </row>
    <row r="118" spans="1:18" x14ac:dyDescent="0.25">
      <c r="A118" s="3">
        <v>45902</v>
      </c>
      <c r="B118" s="4">
        <v>5270.13</v>
      </c>
      <c r="C118" s="4">
        <v>24864.11</v>
      </c>
      <c r="D118" s="4">
        <v>4947.29</v>
      </c>
      <c r="E118" s="4">
        <v>1042.32</v>
      </c>
      <c r="F118" s="4">
        <v>1050.3499999999999</v>
      </c>
      <c r="G118" s="4">
        <v>4038.83</v>
      </c>
      <c r="H118" s="4"/>
      <c r="I118" s="6">
        <f t="shared" si="397"/>
        <v>41213.03</v>
      </c>
      <c r="J118" s="4">
        <f>B118-B117</f>
        <v>3.3299999999999272</v>
      </c>
      <c r="K118" s="4">
        <f>C118-C117</f>
        <v>13.659999999999854</v>
      </c>
      <c r="L118" s="4">
        <f>D118-D117</f>
        <v>2.8350000000000364</v>
      </c>
      <c r="M118" s="4">
        <f>E118-E117</f>
        <v>0.54499999999984539</v>
      </c>
      <c r="N118" s="4">
        <f>F118-F117</f>
        <v>0.65000000000009095</v>
      </c>
      <c r="O118" s="4">
        <f>G118-G117-1000</f>
        <v>1.9549999999999272</v>
      </c>
      <c r="P118" s="4"/>
      <c r="Q118" s="26">
        <f>SUM(J118:O118)</f>
        <v>22.974999999999682</v>
      </c>
    </row>
    <row r="119" spans="1:18" x14ac:dyDescent="0.25">
      <c r="A119" s="3">
        <v>45903</v>
      </c>
      <c r="B119" s="4">
        <v>5273.48</v>
      </c>
      <c r="C119" s="4">
        <v>24877.35</v>
      </c>
      <c r="D119" s="4">
        <v>4950.13</v>
      </c>
      <c r="E119" s="4">
        <v>1042.8599999999999</v>
      </c>
      <c r="F119" s="4">
        <v>1051</v>
      </c>
      <c r="G119" s="4">
        <v>5041.6000000000004</v>
      </c>
      <c r="H119" s="4"/>
      <c r="I119" s="6">
        <f t="shared" si="397"/>
        <v>42236.42</v>
      </c>
      <c r="J119" s="4">
        <f t="shared" ref="J119:K124" si="399">B119-B118</f>
        <v>3.3499999999994543</v>
      </c>
      <c r="K119" s="4">
        <f t="shared" si="399"/>
        <v>13.239999999997963</v>
      </c>
      <c r="L119" s="4">
        <f t="shared" ref="L119" si="400">D119-D118</f>
        <v>2.8400000000001455</v>
      </c>
      <c r="M119" s="4">
        <f t="shared" ref="M119" si="401">E119-E118</f>
        <v>0.53999999999996362</v>
      </c>
      <c r="N119" s="4">
        <f t="shared" ref="N119" si="402">F119-F118</f>
        <v>0.65000000000009095</v>
      </c>
      <c r="O119" s="4">
        <f>G119-G118-1000</f>
        <v>2.7700000000004366</v>
      </c>
      <c r="P119" s="4"/>
      <c r="Q119" s="26">
        <f>SUM(J119:O119)</f>
        <v>23.389999999998054</v>
      </c>
    </row>
    <row r="120" spans="1:18" x14ac:dyDescent="0.25">
      <c r="A120" s="3">
        <v>45904</v>
      </c>
      <c r="B120" s="4">
        <v>5276.82</v>
      </c>
      <c r="C120" s="4">
        <v>24891.18</v>
      </c>
      <c r="D120" s="4">
        <v>4952.97</v>
      </c>
      <c r="E120" s="4">
        <v>1043.4000000000001</v>
      </c>
      <c r="F120" s="4">
        <v>1051.6400000000001</v>
      </c>
      <c r="G120" s="4">
        <v>6044.92</v>
      </c>
      <c r="H120" s="4"/>
      <c r="I120" s="6">
        <f t="shared" si="397"/>
        <v>43260.93</v>
      </c>
      <c r="J120" s="4">
        <f t="shared" si="399"/>
        <v>3.3400000000001455</v>
      </c>
      <c r="K120" s="4">
        <f t="shared" si="399"/>
        <v>13.830000000001746</v>
      </c>
      <c r="L120" s="4">
        <f t="shared" ref="L120" si="403">D120-D119</f>
        <v>2.8400000000001455</v>
      </c>
      <c r="M120" s="4">
        <f t="shared" ref="M120" si="404">E120-E119</f>
        <v>0.54000000000019099</v>
      </c>
      <c r="N120" s="4">
        <f t="shared" ref="N120" si="405">F120-F119</f>
        <v>0.64000000000010004</v>
      </c>
      <c r="O120" s="4">
        <f>G120-G119-1000</f>
        <v>3.319999999999709</v>
      </c>
      <c r="P120" s="4"/>
      <c r="Q120" s="26">
        <f>SUM(J120:O120)</f>
        <v>24.510000000002037</v>
      </c>
    </row>
    <row r="121" spans="1:18" x14ac:dyDescent="0.25">
      <c r="A121" s="3">
        <v>45905</v>
      </c>
      <c r="B121" s="4">
        <v>5280.17</v>
      </c>
      <c r="C121" s="4">
        <v>24904.74</v>
      </c>
      <c r="D121" s="4">
        <v>4955.8100000000004</v>
      </c>
      <c r="E121" s="4">
        <v>1043.95</v>
      </c>
      <c r="F121" s="4">
        <v>1052.29</v>
      </c>
      <c r="G121" s="4">
        <v>6048.25</v>
      </c>
      <c r="H121" s="4"/>
      <c r="I121" s="6">
        <f t="shared" si="397"/>
        <v>43285.21</v>
      </c>
      <c r="J121" s="4">
        <f t="shared" si="399"/>
        <v>3.3500000000003638</v>
      </c>
      <c r="K121" s="4">
        <f t="shared" si="399"/>
        <v>13.56000000000131</v>
      </c>
      <c r="L121" s="4">
        <f t="shared" ref="L121" si="406">D121-D120</f>
        <v>2.8400000000001455</v>
      </c>
      <c r="M121" s="4">
        <f t="shared" ref="M121" si="407">E121-E120</f>
        <v>0.54999999999995453</v>
      </c>
      <c r="N121" s="4">
        <f t="shared" ref="N121" si="408">F121-F120</f>
        <v>0.64999999999986358</v>
      </c>
      <c r="O121" s="4">
        <f t="shared" ref="O121:O126" si="409">G121-G120</f>
        <v>3.3299999999999272</v>
      </c>
      <c r="P121" s="4"/>
      <c r="Q121" s="26">
        <f>SUM(J121:O121)</f>
        <v>24.280000000001564</v>
      </c>
    </row>
    <row r="122" spans="1:18" x14ac:dyDescent="0.25">
      <c r="A122" s="10">
        <v>45906</v>
      </c>
      <c r="B122" s="11">
        <v>5280.17</v>
      </c>
      <c r="C122" s="11">
        <v>24904.74</v>
      </c>
      <c r="D122" s="11">
        <v>4955.8100000000004</v>
      </c>
      <c r="E122" s="11">
        <v>1043.95</v>
      </c>
      <c r="F122" s="11">
        <v>1052.29</v>
      </c>
      <c r="G122" s="11">
        <v>6048.25</v>
      </c>
      <c r="H122" s="11"/>
      <c r="I122" s="34">
        <f t="shared" si="397"/>
        <v>43285.21</v>
      </c>
      <c r="J122" s="11">
        <f t="shared" si="399"/>
        <v>0</v>
      </c>
      <c r="K122" s="11">
        <f t="shared" si="399"/>
        <v>0</v>
      </c>
      <c r="L122" s="11">
        <f t="shared" ref="L122:N124" si="410">D122-D121</f>
        <v>0</v>
      </c>
      <c r="M122" s="11">
        <f t="shared" si="410"/>
        <v>0</v>
      </c>
      <c r="N122" s="11">
        <f t="shared" si="410"/>
        <v>0</v>
      </c>
      <c r="O122" s="11">
        <f t="shared" si="409"/>
        <v>0</v>
      </c>
      <c r="P122" s="11"/>
      <c r="Q122" s="34"/>
    </row>
    <row r="123" spans="1:18" x14ac:dyDescent="0.25">
      <c r="A123" s="10">
        <v>45907</v>
      </c>
      <c r="B123" s="11">
        <v>5280.17</v>
      </c>
      <c r="C123" s="11">
        <v>24904.74</v>
      </c>
      <c r="D123" s="11">
        <v>4955.8100000000004</v>
      </c>
      <c r="E123" s="11">
        <v>1043.95</v>
      </c>
      <c r="F123" s="11">
        <v>1052.29</v>
      </c>
      <c r="G123" s="11">
        <v>6048.25</v>
      </c>
      <c r="H123" s="11"/>
      <c r="I123" s="34">
        <f t="shared" si="397"/>
        <v>43285.21</v>
      </c>
      <c r="J123" s="11">
        <f t="shared" si="399"/>
        <v>0</v>
      </c>
      <c r="K123" s="11">
        <f t="shared" si="399"/>
        <v>0</v>
      </c>
      <c r="L123" s="11">
        <f t="shared" si="410"/>
        <v>0</v>
      </c>
      <c r="M123" s="11">
        <f t="shared" si="410"/>
        <v>0</v>
      </c>
      <c r="N123" s="11">
        <f t="shared" si="410"/>
        <v>0</v>
      </c>
      <c r="O123" s="11">
        <f t="shared" si="409"/>
        <v>0</v>
      </c>
      <c r="P123" s="11"/>
      <c r="Q123" s="34"/>
    </row>
    <row r="124" spans="1:18" x14ac:dyDescent="0.25">
      <c r="A124" s="3">
        <v>45908</v>
      </c>
      <c r="B124" s="4">
        <v>5283.51</v>
      </c>
      <c r="C124" s="4">
        <v>24919.14</v>
      </c>
      <c r="D124" s="4">
        <v>4958.6499999999996</v>
      </c>
      <c r="E124" s="4">
        <v>1044.49</v>
      </c>
      <c r="F124" s="4">
        <v>1052.94</v>
      </c>
      <c r="G124" s="4">
        <v>6051.59</v>
      </c>
      <c r="H124" s="4"/>
      <c r="I124" s="6">
        <f t="shared" si="397"/>
        <v>43310.320000000007</v>
      </c>
      <c r="J124" s="4">
        <f t="shared" si="399"/>
        <v>3.3400000000001455</v>
      </c>
      <c r="K124" s="4">
        <f t="shared" si="399"/>
        <v>14.399999999997817</v>
      </c>
      <c r="L124" s="4">
        <f t="shared" si="410"/>
        <v>2.839999999999236</v>
      </c>
      <c r="M124" s="4">
        <f t="shared" si="410"/>
        <v>0.53999999999996362</v>
      </c>
      <c r="N124" s="4">
        <f t="shared" si="410"/>
        <v>0.65000000000009095</v>
      </c>
      <c r="O124" s="4">
        <f t="shared" si="409"/>
        <v>3.3400000000001455</v>
      </c>
      <c r="P124" s="4"/>
      <c r="Q124" s="26">
        <f>SUM(J124:O124)</f>
        <v>25.109999999997399</v>
      </c>
    </row>
    <row r="125" spans="1:18" x14ac:dyDescent="0.25">
      <c r="A125" s="3">
        <v>45909</v>
      </c>
      <c r="B125" s="4">
        <v>5286.86</v>
      </c>
      <c r="C125" s="4">
        <v>24932.7</v>
      </c>
      <c r="D125" s="4">
        <v>4961.5</v>
      </c>
      <c r="E125" s="4">
        <v>1045.04</v>
      </c>
      <c r="F125" s="4">
        <v>1053.5899999999999</v>
      </c>
      <c r="G125" s="4">
        <v>6054.93</v>
      </c>
      <c r="H125" s="4"/>
      <c r="I125" s="6">
        <f t="shared" si="397"/>
        <v>43334.619999999995</v>
      </c>
      <c r="J125" s="4">
        <f t="shared" ref="J125" si="411">B125-B124</f>
        <v>3.3499999999994543</v>
      </c>
      <c r="K125" s="4">
        <f t="shared" ref="K125" si="412">C125-C124</f>
        <v>13.56000000000131</v>
      </c>
      <c r="L125" s="4">
        <f t="shared" ref="L125" si="413">D125-D124</f>
        <v>2.8500000000003638</v>
      </c>
      <c r="M125" s="4">
        <f t="shared" ref="M125" si="414">E125-E124</f>
        <v>0.54999999999995453</v>
      </c>
      <c r="N125" s="4">
        <f t="shared" ref="N125" si="415">F125-F124</f>
        <v>0.64999999999986358</v>
      </c>
      <c r="O125" s="4">
        <f t="shared" si="409"/>
        <v>3.3400000000001455</v>
      </c>
      <c r="P125" s="4"/>
      <c r="Q125" s="26">
        <f>SUM(J125:O125)</f>
        <v>24.300000000001091</v>
      </c>
    </row>
    <row r="126" spans="1:18" x14ac:dyDescent="0.25">
      <c r="A126" s="3">
        <v>45910</v>
      </c>
      <c r="B126" s="4">
        <v>5290.21</v>
      </c>
      <c r="C126" s="4">
        <v>24946.33</v>
      </c>
      <c r="D126" s="4">
        <v>4964.34</v>
      </c>
      <c r="E126" s="4">
        <v>1045.58</v>
      </c>
      <c r="F126" s="4">
        <v>1054.24</v>
      </c>
      <c r="G126" s="4">
        <v>6058.27</v>
      </c>
      <c r="H126" s="4"/>
      <c r="I126" s="6">
        <f t="shared" si="397"/>
        <v>43358.97</v>
      </c>
      <c r="J126" s="4">
        <f t="shared" ref="J126" si="416">B126-B125</f>
        <v>3.3500000000003638</v>
      </c>
      <c r="K126" s="4">
        <f t="shared" ref="K126" si="417">C126-C125</f>
        <v>13.630000000001019</v>
      </c>
      <c r="L126" s="4">
        <f t="shared" ref="L126" si="418">D126-D125</f>
        <v>2.8400000000001455</v>
      </c>
      <c r="M126" s="4">
        <f t="shared" ref="M126" si="419">E126-E125</f>
        <v>0.53999999999996362</v>
      </c>
      <c r="N126" s="4">
        <f t="shared" ref="N126" si="420">F126-F125</f>
        <v>0.65000000000009095</v>
      </c>
      <c r="O126" s="4">
        <f t="shared" si="409"/>
        <v>3.3400000000001455</v>
      </c>
      <c r="P126" s="4"/>
      <c r="Q126" s="26">
        <f>SUM(J126:O126)</f>
        <v>24.350000000001728</v>
      </c>
    </row>
    <row r="127" spans="1:18" x14ac:dyDescent="0.25">
      <c r="A127" s="3">
        <v>45911</v>
      </c>
      <c r="B127" s="4">
        <v>5293.58</v>
      </c>
      <c r="C127" s="4">
        <v>24960.44</v>
      </c>
      <c r="D127" s="4">
        <v>4967.18</v>
      </c>
      <c r="E127" s="4">
        <v>1046.1300000000001</v>
      </c>
      <c r="F127" s="4">
        <v>1054.9000000000001</v>
      </c>
      <c r="G127" s="4">
        <v>6061.61</v>
      </c>
      <c r="H127" s="4"/>
      <c r="I127" s="6">
        <f t="shared" si="397"/>
        <v>43383.839999999997</v>
      </c>
      <c r="J127" s="4">
        <f t="shared" ref="J127" si="421">B127-B126</f>
        <v>3.3699999999998909</v>
      </c>
      <c r="K127" s="4">
        <f t="shared" ref="K127" si="422">C127-C126</f>
        <v>14.109999999996944</v>
      </c>
      <c r="L127" s="4">
        <f t="shared" ref="L127" si="423">D127-D126</f>
        <v>2.8400000000001455</v>
      </c>
      <c r="M127" s="4">
        <f t="shared" ref="M127" si="424">E127-E126</f>
        <v>0.5500000000001819</v>
      </c>
      <c r="N127" s="4">
        <f t="shared" ref="N127" si="425">F127-F126</f>
        <v>0.66000000000008185</v>
      </c>
      <c r="O127" s="4">
        <f t="shared" ref="O127" si="426">G127-G126</f>
        <v>3.339999999999236</v>
      </c>
      <c r="P127" s="4"/>
      <c r="Q127" s="26">
        <f>SUM(J127:O127)</f>
        <v>24.86999999999648</v>
      </c>
    </row>
    <row r="128" spans="1:18" x14ac:dyDescent="0.25">
      <c r="A128" s="3">
        <v>45912</v>
      </c>
      <c r="B128" s="4">
        <v>5296.93</v>
      </c>
      <c r="C128" s="4">
        <v>24974.080000000002</v>
      </c>
      <c r="D128" s="4">
        <v>4970.0300000000007</v>
      </c>
      <c r="E128" s="4">
        <v>1046.68</v>
      </c>
      <c r="F128" s="4">
        <v>1055.5500000000002</v>
      </c>
      <c r="G128" s="4">
        <v>6064.95</v>
      </c>
      <c r="H128" s="4"/>
      <c r="I128" s="6">
        <f t="shared" si="397"/>
        <v>43408.22</v>
      </c>
      <c r="J128" s="4">
        <f t="shared" ref="J128:J131" si="427">B128-B127</f>
        <v>3.3500000000003638</v>
      </c>
      <c r="K128" s="4">
        <f t="shared" ref="K128:K131" si="428">C128-C127</f>
        <v>13.640000000003056</v>
      </c>
      <c r="L128" s="4">
        <f t="shared" ref="L128:L131" si="429">D128-D127</f>
        <v>2.8500000000003638</v>
      </c>
      <c r="M128" s="4">
        <f t="shared" ref="M128:M131" si="430">E128-E127</f>
        <v>0.54999999999995453</v>
      </c>
      <c r="N128" s="4">
        <f t="shared" ref="N128:N131" si="431">F128-F127</f>
        <v>0.65000000000009095</v>
      </c>
      <c r="O128" s="4">
        <f t="shared" ref="O128:O131" si="432">G128-G127</f>
        <v>3.3400000000001455</v>
      </c>
      <c r="P128" s="4"/>
      <c r="Q128" s="26">
        <f t="shared" ref="Q128:Q131" si="433">SUM(J128:O128)</f>
        <v>24.380000000003974</v>
      </c>
    </row>
    <row r="129" spans="1:17" x14ac:dyDescent="0.25">
      <c r="A129" s="10">
        <v>45913</v>
      </c>
      <c r="B129" s="11">
        <v>5296.93</v>
      </c>
      <c r="C129" s="11">
        <v>24974.080000000002</v>
      </c>
      <c r="D129" s="11">
        <v>4970.0300000000007</v>
      </c>
      <c r="E129" s="11">
        <v>1046.68</v>
      </c>
      <c r="F129" s="11">
        <v>1055.5500000000002</v>
      </c>
      <c r="G129" s="11">
        <v>6064.95</v>
      </c>
      <c r="H129" s="11"/>
      <c r="I129" s="34">
        <f t="shared" si="397"/>
        <v>43408.22</v>
      </c>
      <c r="J129" s="11">
        <f t="shared" si="427"/>
        <v>0</v>
      </c>
      <c r="K129" s="11">
        <f t="shared" si="428"/>
        <v>0</v>
      </c>
      <c r="L129" s="11">
        <f t="shared" si="429"/>
        <v>0</v>
      </c>
      <c r="M129" s="11">
        <f t="shared" si="430"/>
        <v>0</v>
      </c>
      <c r="N129" s="11">
        <f t="shared" si="431"/>
        <v>0</v>
      </c>
      <c r="O129" s="11">
        <f t="shared" si="432"/>
        <v>0</v>
      </c>
      <c r="P129" s="11"/>
      <c r="Q129" s="34"/>
    </row>
    <row r="130" spans="1:17" x14ac:dyDescent="0.25">
      <c r="A130" s="10">
        <v>45914</v>
      </c>
      <c r="B130" s="11">
        <v>5296.93</v>
      </c>
      <c r="C130" s="11">
        <v>24974.080000000002</v>
      </c>
      <c r="D130" s="11">
        <v>4970.0300000000007</v>
      </c>
      <c r="E130" s="11">
        <v>1046.68</v>
      </c>
      <c r="F130" s="11">
        <v>1055.5500000000002</v>
      </c>
      <c r="G130" s="11">
        <v>6064.95</v>
      </c>
      <c r="H130" s="11"/>
      <c r="I130" s="34">
        <f t="shared" si="397"/>
        <v>43408.22</v>
      </c>
      <c r="J130" s="11">
        <f t="shared" si="427"/>
        <v>0</v>
      </c>
      <c r="K130" s="11">
        <f t="shared" si="428"/>
        <v>0</v>
      </c>
      <c r="L130" s="11">
        <f t="shared" si="429"/>
        <v>0</v>
      </c>
      <c r="M130" s="11">
        <f t="shared" si="430"/>
        <v>0</v>
      </c>
      <c r="N130" s="11">
        <f t="shared" si="431"/>
        <v>0</v>
      </c>
      <c r="O130" s="11">
        <f t="shared" si="432"/>
        <v>0</v>
      </c>
      <c r="P130" s="11"/>
      <c r="Q130" s="34"/>
    </row>
    <row r="131" spans="1:17" x14ac:dyDescent="0.25">
      <c r="A131" s="3">
        <v>45915</v>
      </c>
      <c r="B131" s="4">
        <v>5300.28</v>
      </c>
      <c r="C131" s="4">
        <v>24987.74</v>
      </c>
      <c r="D131" s="4">
        <v>4972.88</v>
      </c>
      <c r="E131" s="4">
        <v>1047.22</v>
      </c>
      <c r="F131" s="4">
        <v>1056.2</v>
      </c>
      <c r="G131" s="4">
        <v>6068.29</v>
      </c>
      <c r="H131" s="4"/>
      <c r="I131" s="6">
        <f t="shared" si="397"/>
        <v>43432.61</v>
      </c>
      <c r="J131" s="4">
        <f t="shared" si="427"/>
        <v>3.3499999999994543</v>
      </c>
      <c r="K131" s="4">
        <f t="shared" si="428"/>
        <v>13.659999999999854</v>
      </c>
      <c r="L131" s="4">
        <f t="shared" si="429"/>
        <v>2.8499999999994543</v>
      </c>
      <c r="M131" s="4">
        <f t="shared" si="430"/>
        <v>0.53999999999996362</v>
      </c>
      <c r="N131" s="4">
        <f t="shared" si="431"/>
        <v>0.64999999999986358</v>
      </c>
      <c r="O131" s="4">
        <f t="shared" si="432"/>
        <v>3.3400000000001455</v>
      </c>
      <c r="P131" s="4"/>
      <c r="Q131" s="26">
        <f t="shared" si="433"/>
        <v>24.389999999998736</v>
      </c>
    </row>
    <row r="132" spans="1:17" x14ac:dyDescent="0.25">
      <c r="A132" s="3">
        <v>45916</v>
      </c>
      <c r="B132" s="4">
        <v>5303.64</v>
      </c>
      <c r="C132" s="4">
        <v>25001.55</v>
      </c>
      <c r="D132" s="4">
        <v>4975.7299999999996</v>
      </c>
      <c r="E132" s="4">
        <v>1047.76</v>
      </c>
      <c r="F132" s="4">
        <v>1056.8499999999999</v>
      </c>
      <c r="G132" s="4">
        <v>6071.64</v>
      </c>
      <c r="H132" s="4"/>
      <c r="I132" s="6">
        <f t="shared" si="397"/>
        <v>43457.17</v>
      </c>
      <c r="J132" s="4">
        <f t="shared" ref="J132" si="434">B132-B131</f>
        <v>3.3600000000005821</v>
      </c>
      <c r="K132" s="4">
        <f t="shared" ref="K132" si="435">C132-C131</f>
        <v>13.809999999997672</v>
      </c>
      <c r="L132" s="4">
        <f t="shared" ref="L132" si="436">D132-D131</f>
        <v>2.8499999999994543</v>
      </c>
      <c r="M132" s="4">
        <f t="shared" ref="M132" si="437">E132-E131</f>
        <v>0.53999999999996362</v>
      </c>
      <c r="N132" s="4">
        <f t="shared" ref="N132" si="438">F132-F131</f>
        <v>0.64999999999986358</v>
      </c>
      <c r="O132" s="4">
        <f t="shared" ref="O132" si="439">G132-G131</f>
        <v>3.3500000000003638</v>
      </c>
      <c r="P132" s="4"/>
      <c r="Q132" s="26">
        <f t="shared" ref="Q132" si="440">SUM(J132:O132)</f>
        <v>24.559999999997899</v>
      </c>
    </row>
    <row r="133" spans="1:17" x14ac:dyDescent="0.25">
      <c r="A133" s="3">
        <v>45917</v>
      </c>
      <c r="B133" s="4">
        <v>5307</v>
      </c>
      <c r="C133" s="4">
        <v>25015.75</v>
      </c>
      <c r="D133" s="4">
        <v>4978.59</v>
      </c>
      <c r="E133" s="4">
        <v>1048.31</v>
      </c>
      <c r="F133" s="4">
        <v>1057.5</v>
      </c>
      <c r="G133" s="4">
        <v>6075</v>
      </c>
      <c r="H133" s="4"/>
      <c r="I133" s="6">
        <f t="shared" si="397"/>
        <v>43482.149999999994</v>
      </c>
      <c r="J133" s="4">
        <f t="shared" ref="J133" si="441">B133-B132</f>
        <v>3.3599999999996726</v>
      </c>
      <c r="K133" s="4">
        <f t="shared" ref="K133" si="442">C133-C132</f>
        <v>14.200000000000728</v>
      </c>
      <c r="L133" s="4">
        <f t="shared" ref="L133" si="443">D133-D132</f>
        <v>2.8600000000005821</v>
      </c>
      <c r="M133" s="4">
        <f t="shared" ref="M133" si="444">E133-E132</f>
        <v>0.54999999999995453</v>
      </c>
      <c r="N133" s="4">
        <f t="shared" ref="N133" si="445">F133-F132</f>
        <v>0.65000000000009095</v>
      </c>
      <c r="O133" s="4">
        <f t="shared" ref="O133" si="446">G133-G132</f>
        <v>3.3599999999996726</v>
      </c>
      <c r="P133" s="4"/>
      <c r="Q133" s="26">
        <f t="shared" ref="Q133" si="447">SUM(J133:O133)</f>
        <v>24.9800000000007</v>
      </c>
    </row>
    <row r="134" spans="1:17" x14ac:dyDescent="0.25">
      <c r="A134" s="3">
        <v>45918</v>
      </c>
      <c r="B134" s="4">
        <v>5310.37</v>
      </c>
      <c r="C134" s="4">
        <v>25030.35</v>
      </c>
      <c r="D134" s="4">
        <v>4981.4399999999996</v>
      </c>
      <c r="E134" s="4">
        <v>1048.8499999999999</v>
      </c>
      <c r="F134" s="4">
        <v>1058.1600000000001</v>
      </c>
      <c r="G134" s="4">
        <v>6078.35</v>
      </c>
      <c r="H134" s="4"/>
      <c r="I134" s="6">
        <f t="shared" si="397"/>
        <v>43507.519999999997</v>
      </c>
      <c r="J134" s="4">
        <f t="shared" ref="J134" si="448">B134-B133</f>
        <v>3.3699999999998909</v>
      </c>
      <c r="K134" s="4">
        <f t="shared" ref="K134" si="449">C134-C133</f>
        <v>14.599999999998545</v>
      </c>
      <c r="L134" s="4">
        <f t="shared" ref="L134" si="450">D134-D133</f>
        <v>2.8499999999994543</v>
      </c>
      <c r="M134" s="4">
        <f t="shared" ref="M134" si="451">E134-E133</f>
        <v>0.53999999999996362</v>
      </c>
      <c r="N134" s="4">
        <f t="shared" ref="N134" si="452">F134-F133</f>
        <v>0.66000000000008185</v>
      </c>
      <c r="O134" s="4">
        <f t="shared" ref="O134" si="453">G134-G133</f>
        <v>3.3500000000003638</v>
      </c>
      <c r="P134" s="4"/>
      <c r="Q134" s="26">
        <f t="shared" ref="Q134" si="454">SUM(J134:O134)</f>
        <v>25.369999999998299</v>
      </c>
    </row>
    <row r="135" spans="1:17" x14ac:dyDescent="0.25">
      <c r="A135" s="3">
        <v>45919</v>
      </c>
      <c r="B135" s="4">
        <v>5313.74</v>
      </c>
      <c r="C135" s="4">
        <v>25044.16</v>
      </c>
      <c r="D135" s="4">
        <v>4984.3100000000004</v>
      </c>
      <c r="E135" s="4">
        <v>1049.4000000000001</v>
      </c>
      <c r="F135" s="4">
        <v>1058.81</v>
      </c>
      <c r="G135" s="4">
        <v>6081.7</v>
      </c>
      <c r="H135" s="4"/>
      <c r="I135" s="6">
        <f t="shared" si="397"/>
        <v>43532.119999999995</v>
      </c>
      <c r="J135" s="4">
        <f t="shared" ref="J135" si="455">B135-B134</f>
        <v>3.3699999999998909</v>
      </c>
      <c r="K135" s="4">
        <f t="shared" ref="K135" si="456">C135-C134</f>
        <v>13.81000000000131</v>
      </c>
      <c r="L135" s="4">
        <f t="shared" ref="L135" si="457">D135-D134</f>
        <v>2.8700000000008004</v>
      </c>
      <c r="M135" s="4">
        <f t="shared" ref="M135" si="458">E135-E134</f>
        <v>0.5500000000001819</v>
      </c>
      <c r="N135" s="4">
        <f t="shared" ref="N135" si="459">F135-F134</f>
        <v>0.64999999999986358</v>
      </c>
      <c r="O135" s="4">
        <f t="shared" ref="O135" si="460">G135-G134</f>
        <v>3.3499999999994543</v>
      </c>
      <c r="P135" s="4"/>
      <c r="Q135" s="26">
        <f t="shared" ref="Q135" si="461">SUM(J135:O135)</f>
        <v>24.600000000001501</v>
      </c>
    </row>
    <row r="136" spans="1:17" x14ac:dyDescent="0.25">
      <c r="A136" s="10">
        <v>45920</v>
      </c>
      <c r="B136" s="11">
        <v>5313.74</v>
      </c>
      <c r="C136" s="11">
        <v>25044.16</v>
      </c>
      <c r="D136" s="11">
        <v>4984.3100000000004</v>
      </c>
      <c r="E136" s="11">
        <v>1049.4000000000001</v>
      </c>
      <c r="F136" s="11">
        <v>1058.81</v>
      </c>
      <c r="G136" s="11">
        <v>6081.7</v>
      </c>
      <c r="H136" s="11"/>
      <c r="I136" s="34">
        <f t="shared" ref="I136:I137" si="462">SUM(B136:G136)</f>
        <v>43532.119999999995</v>
      </c>
      <c r="J136" s="11">
        <f t="shared" ref="J136:J137" si="463">B136-B135</f>
        <v>0</v>
      </c>
      <c r="K136" s="11">
        <f t="shared" ref="K136:K137" si="464">C136-C135</f>
        <v>0</v>
      </c>
      <c r="L136" s="11">
        <f t="shared" ref="L136:L137" si="465">D136-D135</f>
        <v>0</v>
      </c>
      <c r="M136" s="11">
        <f t="shared" ref="M136:M137" si="466">E136-E135</f>
        <v>0</v>
      </c>
      <c r="N136" s="11">
        <f t="shared" ref="N136:N137" si="467">F136-F135</f>
        <v>0</v>
      </c>
      <c r="O136" s="11">
        <f t="shared" ref="O136:O137" si="468">G136-G135</f>
        <v>0</v>
      </c>
      <c r="P136" s="11"/>
      <c r="Q136" s="58"/>
    </row>
    <row r="137" spans="1:17" x14ac:dyDescent="0.25">
      <c r="A137" s="10">
        <v>45921</v>
      </c>
      <c r="B137" s="11">
        <v>5313.74</v>
      </c>
      <c r="C137" s="11">
        <v>25044.16</v>
      </c>
      <c r="D137" s="11">
        <v>4984.3100000000004</v>
      </c>
      <c r="E137" s="11">
        <v>1049.4000000000001</v>
      </c>
      <c r="F137" s="11">
        <v>1058.81</v>
      </c>
      <c r="G137" s="11">
        <v>6081.7</v>
      </c>
      <c r="H137" s="11"/>
      <c r="I137" s="34">
        <f t="shared" si="462"/>
        <v>43532.119999999995</v>
      </c>
      <c r="J137" s="11">
        <f t="shared" si="463"/>
        <v>0</v>
      </c>
      <c r="K137" s="11">
        <f t="shared" si="464"/>
        <v>0</v>
      </c>
      <c r="L137" s="11">
        <f t="shared" si="465"/>
        <v>0</v>
      </c>
      <c r="M137" s="11">
        <f t="shared" si="466"/>
        <v>0</v>
      </c>
      <c r="N137" s="11">
        <f t="shared" si="467"/>
        <v>0</v>
      </c>
      <c r="O137" s="11">
        <f t="shared" si="468"/>
        <v>0</v>
      </c>
      <c r="P137" s="11"/>
      <c r="Q137" s="58"/>
    </row>
    <row r="138" spans="1:17" x14ac:dyDescent="0.25">
      <c r="A138" s="3">
        <v>45922</v>
      </c>
      <c r="B138" s="4">
        <v>5317.11</v>
      </c>
      <c r="C138" s="4">
        <v>25058.1</v>
      </c>
      <c r="D138" s="4">
        <v>4987.1499999999996</v>
      </c>
      <c r="E138" s="4">
        <v>1049.95</v>
      </c>
      <c r="F138" s="4">
        <v>1059.46</v>
      </c>
      <c r="G138" s="4">
        <v>6085.04</v>
      </c>
      <c r="H138" s="4"/>
      <c r="I138" s="6">
        <f t="shared" ref="I138:I144" si="469">SUM(B138:G138)</f>
        <v>43556.81</v>
      </c>
      <c r="J138" s="4">
        <f t="shared" ref="J138:J142" si="470">B138-B137</f>
        <v>3.3699999999998909</v>
      </c>
      <c r="K138" s="4">
        <f t="shared" ref="K138:K142" si="471">C138-C137</f>
        <v>13.93999999999869</v>
      </c>
      <c r="L138" s="4">
        <f t="shared" ref="L138" si="472">D138-D137</f>
        <v>2.839999999999236</v>
      </c>
      <c r="M138" s="4">
        <f t="shared" ref="M138" si="473">E138-E137</f>
        <v>0.54999999999995453</v>
      </c>
      <c r="N138" s="4">
        <f t="shared" ref="N138" si="474">F138-F137</f>
        <v>0.65000000000009095</v>
      </c>
      <c r="O138" s="4">
        <f t="shared" ref="O138" si="475">G138-G137</f>
        <v>3.3400000000001455</v>
      </c>
      <c r="P138" s="4"/>
      <c r="Q138" s="26">
        <f t="shared" ref="Q138:Q142" si="476">SUM(J138:O138)</f>
        <v>24.689999999998008</v>
      </c>
    </row>
    <row r="139" spans="1:17" x14ac:dyDescent="0.25">
      <c r="A139" s="3">
        <v>45923</v>
      </c>
      <c r="B139" s="4">
        <v>5320.48</v>
      </c>
      <c r="C139" s="4">
        <v>25071.41</v>
      </c>
      <c r="D139" s="4">
        <v>4990.01</v>
      </c>
      <c r="E139" s="4">
        <v>1050.49</v>
      </c>
      <c r="F139" s="4">
        <v>1060.1199999999999</v>
      </c>
      <c r="G139" s="4">
        <v>6088.4</v>
      </c>
      <c r="H139" s="4"/>
      <c r="I139" s="6">
        <f t="shared" si="469"/>
        <v>43580.91</v>
      </c>
      <c r="J139" s="4">
        <f t="shared" si="470"/>
        <v>3.3699999999998909</v>
      </c>
      <c r="K139" s="4">
        <f t="shared" si="471"/>
        <v>13.31000000000131</v>
      </c>
      <c r="L139" s="4">
        <f t="shared" ref="L139" si="477">D139-D138</f>
        <v>2.8600000000005821</v>
      </c>
      <c r="M139" s="4">
        <f t="shared" ref="M139" si="478">E139-E138</f>
        <v>0.53999999999996362</v>
      </c>
      <c r="N139" s="4">
        <f t="shared" ref="N139" si="479">F139-F138</f>
        <v>0.65999999999985448</v>
      </c>
      <c r="O139" s="4">
        <f t="shared" ref="O139" si="480">G139-G138</f>
        <v>3.3599999999996726</v>
      </c>
      <c r="P139" s="4"/>
      <c r="Q139" s="26">
        <f t="shared" si="476"/>
        <v>24.100000000001273</v>
      </c>
    </row>
    <row r="140" spans="1:17" x14ac:dyDescent="0.25">
      <c r="A140" s="3">
        <v>45924</v>
      </c>
      <c r="B140" s="4">
        <v>5323.84</v>
      </c>
      <c r="C140" s="4">
        <v>25086.09</v>
      </c>
      <c r="D140" s="4">
        <v>4992.88</v>
      </c>
      <c r="E140" s="4">
        <v>1051.04</v>
      </c>
      <c r="F140" s="4">
        <v>1060.77</v>
      </c>
      <c r="G140" s="4">
        <v>6091.75</v>
      </c>
      <c r="H140" s="4"/>
      <c r="I140" s="6">
        <f t="shared" si="469"/>
        <v>43606.369999999995</v>
      </c>
      <c r="J140" s="4">
        <f t="shared" si="470"/>
        <v>3.3600000000005821</v>
      </c>
      <c r="K140" s="4">
        <f t="shared" si="471"/>
        <v>14.680000000000291</v>
      </c>
      <c r="L140" s="4">
        <f t="shared" ref="L140" si="481">D140-D139</f>
        <v>2.8699999999998909</v>
      </c>
      <c r="M140" s="4">
        <f t="shared" ref="M140" si="482">E140-E139</f>
        <v>0.54999999999995453</v>
      </c>
      <c r="N140" s="4">
        <f t="shared" ref="N140" si="483">F140-F139</f>
        <v>0.65000000000009095</v>
      </c>
      <c r="O140" s="4">
        <f t="shared" ref="O140" si="484">G140-G139</f>
        <v>3.3500000000003638</v>
      </c>
      <c r="P140" s="4"/>
      <c r="Q140" s="26">
        <f t="shared" si="476"/>
        <v>25.460000000001173</v>
      </c>
    </row>
    <row r="141" spans="1:17" x14ac:dyDescent="0.25">
      <c r="A141" s="3">
        <v>45925</v>
      </c>
      <c r="B141" s="4">
        <v>5327.23</v>
      </c>
      <c r="C141" s="4">
        <v>25099.74</v>
      </c>
      <c r="D141" s="4">
        <v>4995.74</v>
      </c>
      <c r="E141" s="4">
        <v>1051.5899999999999</v>
      </c>
      <c r="F141" s="4">
        <v>1061.43</v>
      </c>
      <c r="G141" s="4">
        <v>6095.11</v>
      </c>
      <c r="H141" s="4"/>
      <c r="I141" s="6">
        <f t="shared" si="469"/>
        <v>43630.84</v>
      </c>
      <c r="J141" s="4">
        <f t="shared" si="470"/>
        <v>3.3899999999994179</v>
      </c>
      <c r="K141" s="4">
        <f t="shared" si="471"/>
        <v>13.650000000001455</v>
      </c>
      <c r="L141" s="4">
        <f t="shared" ref="L141" si="485">D141-D140</f>
        <v>2.8599999999996726</v>
      </c>
      <c r="M141" s="4">
        <f t="shared" ref="M141" si="486">E141-E140</f>
        <v>0.54999999999995453</v>
      </c>
      <c r="N141" s="4">
        <f t="shared" ref="N141" si="487">F141-F140</f>
        <v>0.66000000000008185</v>
      </c>
      <c r="O141" s="4">
        <f t="shared" ref="O141" si="488">G141-G140</f>
        <v>3.3599999999996726</v>
      </c>
      <c r="P141" s="4"/>
      <c r="Q141" s="26">
        <f t="shared" si="476"/>
        <v>24.470000000000255</v>
      </c>
    </row>
    <row r="142" spans="1:17" x14ac:dyDescent="0.25">
      <c r="A142" s="3">
        <v>45926</v>
      </c>
      <c r="B142" s="4">
        <v>5330.61</v>
      </c>
      <c r="C142" s="4">
        <v>25113.4</v>
      </c>
      <c r="D142" s="4">
        <v>4998.6000000000004</v>
      </c>
      <c r="E142" s="4">
        <v>1052.1400000000001</v>
      </c>
      <c r="F142" s="4">
        <v>1062.08</v>
      </c>
      <c r="G142" s="4">
        <v>6098.47</v>
      </c>
      <c r="H142" s="4"/>
      <c r="I142" s="6">
        <f t="shared" si="469"/>
        <v>43655.3</v>
      </c>
      <c r="J142" s="4">
        <f t="shared" si="470"/>
        <v>3.3800000000001091</v>
      </c>
      <c r="K142" s="4">
        <f t="shared" si="471"/>
        <v>13.659999999999854</v>
      </c>
      <c r="L142" s="4">
        <f t="shared" ref="L142" si="489">D142-D141</f>
        <v>2.8600000000005821</v>
      </c>
      <c r="M142" s="4">
        <f t="shared" ref="M142" si="490">E142-E141</f>
        <v>0.5500000000001819</v>
      </c>
      <c r="N142" s="4">
        <f t="shared" ref="N142" si="491">F142-F141</f>
        <v>0.64999999999986358</v>
      </c>
      <c r="O142" s="4">
        <f t="shared" ref="O142" si="492">G142-G141</f>
        <v>3.3600000000005821</v>
      </c>
      <c r="P142" s="4"/>
      <c r="Q142" s="26">
        <f t="shared" si="476"/>
        <v>24.460000000001173</v>
      </c>
    </row>
    <row r="143" spans="1:17" x14ac:dyDescent="0.25">
      <c r="A143" s="10">
        <v>45927</v>
      </c>
      <c r="B143" s="11">
        <v>5330.61</v>
      </c>
      <c r="C143" s="11">
        <v>25113.4</v>
      </c>
      <c r="D143" s="11">
        <v>4998.6000000000004</v>
      </c>
      <c r="E143" s="11">
        <v>1052.1400000000001</v>
      </c>
      <c r="F143" s="11">
        <v>1062.08</v>
      </c>
      <c r="G143" s="11">
        <v>6098.47</v>
      </c>
      <c r="H143" s="11"/>
      <c r="I143" s="34">
        <f t="shared" si="469"/>
        <v>43655.3</v>
      </c>
      <c r="J143" s="11">
        <f t="shared" ref="J143:J144" si="493">B143-B142</f>
        <v>0</v>
      </c>
      <c r="K143" s="11">
        <f t="shared" ref="K143:K144" si="494">C143-C142</f>
        <v>0</v>
      </c>
      <c r="L143" s="11">
        <f t="shared" ref="L143:L144" si="495">D143-D142</f>
        <v>0</v>
      </c>
      <c r="M143" s="11">
        <f t="shared" ref="M143:M144" si="496">E143-E142</f>
        <v>0</v>
      </c>
      <c r="N143" s="11">
        <f t="shared" ref="N143:N144" si="497">F143-F142</f>
        <v>0</v>
      </c>
      <c r="O143" s="11">
        <f t="shared" ref="O143:O144" si="498">G143-G142</f>
        <v>0</v>
      </c>
      <c r="P143" s="11"/>
      <c r="Q143" s="58"/>
    </row>
    <row r="144" spans="1:17" x14ac:dyDescent="0.25">
      <c r="A144" s="10">
        <v>45928</v>
      </c>
      <c r="B144" s="11">
        <v>5330.61</v>
      </c>
      <c r="C144" s="11">
        <v>25113.4</v>
      </c>
      <c r="D144" s="11">
        <v>4998.6000000000004</v>
      </c>
      <c r="E144" s="11">
        <v>1052.1400000000001</v>
      </c>
      <c r="F144" s="11">
        <v>1062.08</v>
      </c>
      <c r="G144" s="11">
        <v>6098.47</v>
      </c>
      <c r="H144" s="11"/>
      <c r="I144" s="34">
        <f t="shared" si="469"/>
        <v>43655.3</v>
      </c>
      <c r="J144" s="11">
        <f t="shared" si="493"/>
        <v>0</v>
      </c>
      <c r="K144" s="11">
        <f t="shared" si="494"/>
        <v>0</v>
      </c>
      <c r="L144" s="11">
        <f t="shared" si="495"/>
        <v>0</v>
      </c>
      <c r="M144" s="11">
        <f t="shared" si="496"/>
        <v>0</v>
      </c>
      <c r="N144" s="11">
        <f t="shared" si="497"/>
        <v>0</v>
      </c>
      <c r="O144" s="11">
        <f t="shared" si="498"/>
        <v>0</v>
      </c>
      <c r="P144" s="11"/>
      <c r="Q144" s="58"/>
    </row>
    <row r="145" spans="1:18" x14ac:dyDescent="0.25">
      <c r="A145" s="3">
        <v>45929</v>
      </c>
      <c r="B145" s="4">
        <v>5333.99</v>
      </c>
      <c r="C145" s="4">
        <v>25126.7</v>
      </c>
      <c r="D145" s="4">
        <v>5001.83</v>
      </c>
      <c r="E145" s="4">
        <v>1052.68</v>
      </c>
      <c r="F145" s="4">
        <v>1062.74</v>
      </c>
      <c r="G145" s="4">
        <v>6101.83</v>
      </c>
      <c r="H145" s="4"/>
      <c r="I145" s="6">
        <f t="shared" ref="I145:I146" si="499">SUM(B145:G145)</f>
        <v>43679.770000000004</v>
      </c>
      <c r="J145" s="4">
        <f t="shared" ref="J145:J146" si="500">B145-B144</f>
        <v>3.3800000000001091</v>
      </c>
      <c r="K145" s="4">
        <f t="shared" ref="K145:K146" si="501">C145-C144</f>
        <v>13.299999999999272</v>
      </c>
      <c r="L145" s="4">
        <f t="shared" ref="L145" si="502">D145-D144</f>
        <v>3.2299999999995634</v>
      </c>
      <c r="M145" s="4">
        <f t="shared" ref="M145" si="503">E145-E144</f>
        <v>0.53999999999996362</v>
      </c>
      <c r="N145" s="4">
        <f t="shared" ref="N145" si="504">F145-F144</f>
        <v>0.66000000000008185</v>
      </c>
      <c r="O145" s="4">
        <f t="shared" ref="O145" si="505">G145-G144</f>
        <v>3.3599999999996726</v>
      </c>
      <c r="P145" s="4"/>
      <c r="Q145" s="26">
        <f t="shared" ref="Q145:Q146" si="506">SUM(J145:O145)</f>
        <v>24.469999999998663</v>
      </c>
    </row>
    <row r="146" spans="1:18" x14ac:dyDescent="0.25">
      <c r="A146" s="3">
        <v>45930</v>
      </c>
      <c r="B146" s="4">
        <v>5337.36</v>
      </c>
      <c r="C146" s="4">
        <v>25140.26</v>
      </c>
      <c r="D146" s="4">
        <v>5004.33</v>
      </c>
      <c r="E146" s="4">
        <v>1053.23</v>
      </c>
      <c r="F146" s="4">
        <v>1063.3900000000001</v>
      </c>
      <c r="G146" s="4">
        <v>6105.2</v>
      </c>
      <c r="H146" s="4"/>
      <c r="I146" s="6">
        <f t="shared" si="499"/>
        <v>43703.77</v>
      </c>
      <c r="J146" s="4">
        <f t="shared" si="500"/>
        <v>3.3699999999998909</v>
      </c>
      <c r="K146" s="4">
        <f t="shared" si="501"/>
        <v>13.559999999997672</v>
      </c>
      <c r="L146" s="4">
        <f t="shared" ref="L146" si="507">D146-D145</f>
        <v>2.5</v>
      </c>
      <c r="M146" s="4">
        <f t="shared" ref="M146" si="508">E146-E145</f>
        <v>0.54999999999995453</v>
      </c>
      <c r="N146" s="4">
        <f t="shared" ref="N146" si="509">F146-F145</f>
        <v>0.65000000000009095</v>
      </c>
      <c r="O146" s="4">
        <f t="shared" ref="O146" si="510">G146-G145</f>
        <v>3.3699999999998909</v>
      </c>
      <c r="P146" s="4"/>
      <c r="Q146" s="26">
        <f t="shared" si="506"/>
        <v>23.999999999997499</v>
      </c>
    </row>
    <row r="147" spans="1:18" x14ac:dyDescent="0.25">
      <c r="A147" s="5" t="s">
        <v>6</v>
      </c>
      <c r="B147" s="48"/>
      <c r="C147" s="48"/>
      <c r="D147" s="48"/>
      <c r="E147" s="48"/>
      <c r="F147" s="48"/>
      <c r="G147" s="48"/>
      <c r="H147" s="48"/>
      <c r="I147" s="48"/>
      <c r="J147" s="6">
        <f t="shared" ref="J147:Q147" si="511">SUM(J117:J146)</f>
        <v>73.889999999999418</v>
      </c>
      <c r="K147" s="6">
        <f t="shared" si="511"/>
        <v>303.79999999999927</v>
      </c>
      <c r="L147" s="6">
        <f t="shared" si="511"/>
        <v>62.710000000000036</v>
      </c>
      <c r="M147" s="6">
        <f t="shared" si="511"/>
        <v>12</v>
      </c>
      <c r="N147" s="6">
        <f t="shared" si="511"/>
        <v>14.340000000000146</v>
      </c>
      <c r="O147" s="6">
        <f t="shared" si="511"/>
        <v>70.279999999999745</v>
      </c>
      <c r="P147" s="6"/>
      <c r="Q147" s="6">
        <f t="shared" si="511"/>
        <v>537.01999999999862</v>
      </c>
    </row>
    <row r="148" spans="1:18" x14ac:dyDescent="0.25">
      <c r="I148" s="1"/>
      <c r="J148" s="61">
        <f>(J147/B117)</f>
        <v>1.4029391660970498E-2</v>
      </c>
      <c r="K148" s="61">
        <f>(K147/C117)</f>
        <v>1.2225130732039027E-2</v>
      </c>
      <c r="L148" s="61">
        <f>(L147/D117)</f>
        <v>1.2682894272472909E-2</v>
      </c>
      <c r="M148" s="61">
        <f>(M147/E117)</f>
        <v>1.1518802044587361E-2</v>
      </c>
      <c r="N148" s="61">
        <f>(N147/F117)</f>
        <v>1.3661046013146754E-2</v>
      </c>
      <c r="O148" s="61">
        <f>(O147/(G117+3000))</f>
        <v>1.16417848638575E-2</v>
      </c>
      <c r="P148" s="61"/>
      <c r="Q148" s="61">
        <f>(Q147/I117)</f>
        <v>1.3362012069901338E-2</v>
      </c>
    </row>
    <row r="150" spans="1:18" x14ac:dyDescent="0.25">
      <c r="A150" s="3">
        <v>45931</v>
      </c>
      <c r="B150" s="4">
        <v>5340.75</v>
      </c>
      <c r="C150" s="4">
        <v>25153.31</v>
      </c>
      <c r="D150" s="4">
        <v>5007.21</v>
      </c>
      <c r="E150" s="4">
        <v>1053.78</v>
      </c>
      <c r="F150" s="4">
        <v>1064.05</v>
      </c>
      <c r="G150" s="4">
        <v>7108.56</v>
      </c>
      <c r="H150" s="4"/>
      <c r="I150" s="6">
        <f t="shared" ref="I150:I154" si="512">SUM(B150:G150)</f>
        <v>44727.66</v>
      </c>
      <c r="J150" s="4">
        <f>B150-B146</f>
        <v>3.3900000000003274</v>
      </c>
      <c r="K150" s="4">
        <f>C150-C146</f>
        <v>13.05000000000291</v>
      </c>
      <c r="L150" s="4">
        <f>D150-D146</f>
        <v>2.8800000000001091</v>
      </c>
      <c r="M150" s="4">
        <f>E150-E146</f>
        <v>0.54999999999995453</v>
      </c>
      <c r="N150" s="4">
        <f>F150-F146</f>
        <v>0.65999999999985448</v>
      </c>
      <c r="O150" s="4">
        <f>G150-G146-1000</f>
        <v>3.3600000000005821</v>
      </c>
      <c r="P150" s="4"/>
      <c r="Q150" s="26">
        <f t="shared" ref="Q150:Q152" si="513">SUM(J150:O150)</f>
        <v>23.890000000003738</v>
      </c>
      <c r="R150" s="26">
        <f>AVERAGE(Q150:Q180)</f>
        <v>26.688260869565678</v>
      </c>
    </row>
    <row r="151" spans="1:18" x14ac:dyDescent="0.25">
      <c r="A151" s="3">
        <v>45932</v>
      </c>
      <c r="B151" s="4">
        <v>5344.13</v>
      </c>
      <c r="C151" s="4">
        <v>25166.33</v>
      </c>
      <c r="D151" s="4">
        <v>5010.07</v>
      </c>
      <c r="E151" s="4">
        <v>1054.33</v>
      </c>
      <c r="F151" s="4">
        <v>1064.71</v>
      </c>
      <c r="G151" s="4">
        <v>8112.49</v>
      </c>
      <c r="H151" s="4"/>
      <c r="I151" s="6">
        <f t="shared" si="512"/>
        <v>45752.06</v>
      </c>
      <c r="J151" s="4">
        <f t="shared" ref="J151:J152" si="514">B151-B150</f>
        <v>3.3800000000001091</v>
      </c>
      <c r="K151" s="4">
        <f>C151-C150</f>
        <v>13.020000000000437</v>
      </c>
      <c r="L151" s="4">
        <f>D151-D150</f>
        <v>2.8599999999996726</v>
      </c>
      <c r="M151" s="4">
        <f>E151-E150</f>
        <v>0.54999999999995453</v>
      </c>
      <c r="N151" s="4">
        <f>F151-F150</f>
        <v>0.66000000000008185</v>
      </c>
      <c r="O151" s="4">
        <f>G151-G150-1000</f>
        <v>3.9299999999993815</v>
      </c>
      <c r="P151" s="4"/>
      <c r="Q151" s="26">
        <f t="shared" si="513"/>
        <v>24.399999999999636</v>
      </c>
    </row>
    <row r="152" spans="1:18" x14ac:dyDescent="0.25">
      <c r="A152" s="3">
        <v>45933</v>
      </c>
      <c r="B152" s="4">
        <v>5347.52</v>
      </c>
      <c r="C152" s="4">
        <v>25180.6</v>
      </c>
      <c r="D152" s="4">
        <v>5010.07</v>
      </c>
      <c r="E152" s="4">
        <v>1054.8800000000001</v>
      </c>
      <c r="F152" s="4">
        <v>1065.3699999999999</v>
      </c>
      <c r="G152" s="4">
        <v>9116.9599999999991</v>
      </c>
      <c r="H152" s="4"/>
      <c r="I152" s="6">
        <f t="shared" si="512"/>
        <v>46775.4</v>
      </c>
      <c r="J152" s="4">
        <f t="shared" si="514"/>
        <v>3.3900000000003274</v>
      </c>
      <c r="K152" s="4">
        <f t="shared" ref="K152" si="515">C152-C151</f>
        <v>14.269999999996799</v>
      </c>
      <c r="L152" s="11">
        <f>D152-D151</f>
        <v>0</v>
      </c>
      <c r="M152" s="4">
        <f t="shared" ref="M152" si="516">E152-E151</f>
        <v>0.5500000000001819</v>
      </c>
      <c r="N152" s="4">
        <f t="shared" ref="N152" si="517">F152-F151</f>
        <v>0.65999999999985448</v>
      </c>
      <c r="O152" s="4">
        <f>G152-G151-1000</f>
        <v>4.4699999999993452</v>
      </c>
      <c r="P152" s="4"/>
      <c r="Q152" s="26">
        <f t="shared" si="513"/>
        <v>23.339999999996508</v>
      </c>
    </row>
    <row r="153" spans="1:18" x14ac:dyDescent="0.25">
      <c r="A153" s="3">
        <v>45934</v>
      </c>
      <c r="B153" s="11">
        <v>5347.52</v>
      </c>
      <c r="C153" s="11">
        <v>25180.6</v>
      </c>
      <c r="D153" s="11">
        <v>5010.07</v>
      </c>
      <c r="E153" s="11">
        <v>1054.8800000000001</v>
      </c>
      <c r="F153" s="11">
        <v>1065.3699999999999</v>
      </c>
      <c r="G153" s="11">
        <v>9116.9599999999991</v>
      </c>
      <c r="H153" s="11"/>
      <c r="I153" s="34">
        <f t="shared" si="512"/>
        <v>46775.4</v>
      </c>
      <c r="J153" s="11">
        <f t="shared" ref="J153:J154" si="518">B153-B152</f>
        <v>0</v>
      </c>
      <c r="K153" s="11">
        <f t="shared" ref="K153:K154" si="519">C153-C152</f>
        <v>0</v>
      </c>
      <c r="L153" s="11">
        <f t="shared" ref="L153:L154" si="520">D153-D152</f>
        <v>0</v>
      </c>
      <c r="M153" s="11">
        <f t="shared" ref="M153:M154" si="521">E153-E152</f>
        <v>0</v>
      </c>
      <c r="N153" s="11">
        <f t="shared" ref="N153:N154" si="522">F153-F152</f>
        <v>0</v>
      </c>
      <c r="O153" s="11">
        <f>G153-G152</f>
        <v>0</v>
      </c>
      <c r="P153" s="11"/>
      <c r="Q153" s="34"/>
    </row>
    <row r="154" spans="1:18" x14ac:dyDescent="0.25">
      <c r="A154" s="3">
        <v>45935</v>
      </c>
      <c r="B154" s="11">
        <v>5347.52</v>
      </c>
      <c r="C154" s="11">
        <v>25180.6</v>
      </c>
      <c r="D154" s="11">
        <v>5010.07</v>
      </c>
      <c r="E154" s="11">
        <v>1054.8800000000001</v>
      </c>
      <c r="F154" s="11">
        <v>1065.3699999999999</v>
      </c>
      <c r="G154" s="11">
        <v>9116.9599999999991</v>
      </c>
      <c r="H154" s="11"/>
      <c r="I154" s="34">
        <f t="shared" si="512"/>
        <v>46775.4</v>
      </c>
      <c r="J154" s="11">
        <f t="shared" si="518"/>
        <v>0</v>
      </c>
      <c r="K154" s="11">
        <f t="shared" si="519"/>
        <v>0</v>
      </c>
      <c r="L154" s="11">
        <f t="shared" si="520"/>
        <v>0</v>
      </c>
      <c r="M154" s="11">
        <f t="shared" si="521"/>
        <v>0</v>
      </c>
      <c r="N154" s="11">
        <f t="shared" si="522"/>
        <v>0</v>
      </c>
      <c r="O154" s="11">
        <f>G154-G153</f>
        <v>0</v>
      </c>
      <c r="P154" s="11"/>
      <c r="Q154" s="34"/>
    </row>
    <row r="155" spans="1:18" x14ac:dyDescent="0.25">
      <c r="A155" s="3">
        <v>45936</v>
      </c>
      <c r="B155" s="4">
        <v>5350.92</v>
      </c>
      <c r="C155" s="4">
        <v>25194.38</v>
      </c>
      <c r="D155" s="4">
        <v>5015.82</v>
      </c>
      <c r="E155" s="4">
        <v>1055.43</v>
      </c>
      <c r="F155" s="4">
        <v>1066.02</v>
      </c>
      <c r="G155" s="4">
        <v>9121.98</v>
      </c>
      <c r="H155" s="4"/>
      <c r="I155" s="6">
        <f>SUM(B155:G155)</f>
        <v>46804.55</v>
      </c>
      <c r="J155" s="4">
        <f t="shared" ref="J155:O155" si="523">B155-B152</f>
        <v>3.3999999999996362</v>
      </c>
      <c r="K155" s="4">
        <f t="shared" si="523"/>
        <v>13.780000000002474</v>
      </c>
      <c r="L155" s="13">
        <f t="shared" si="523"/>
        <v>5.75</v>
      </c>
      <c r="M155" s="4">
        <f t="shared" si="523"/>
        <v>0.54999999999995453</v>
      </c>
      <c r="N155" s="4">
        <f t="shared" si="523"/>
        <v>0.65000000000009095</v>
      </c>
      <c r="O155" s="4">
        <f t="shared" si="523"/>
        <v>5.0200000000004366</v>
      </c>
      <c r="P155" s="4"/>
      <c r="Q155" s="26">
        <f>SUM(J155:O155)</f>
        <v>29.150000000002592</v>
      </c>
    </row>
    <row r="156" spans="1:18" x14ac:dyDescent="0.25">
      <c r="A156" s="3">
        <v>45937</v>
      </c>
      <c r="B156" s="4">
        <v>5354.3</v>
      </c>
      <c r="C156" s="4">
        <v>25208.13</v>
      </c>
      <c r="D156" s="4">
        <v>5018.7</v>
      </c>
      <c r="E156" s="4">
        <v>1055.98</v>
      </c>
      <c r="F156" s="4">
        <v>1066.68</v>
      </c>
      <c r="G156" s="4">
        <v>9127</v>
      </c>
      <c r="H156" s="4"/>
      <c r="I156" s="6">
        <f>SUM(B156:G156)</f>
        <v>46830.79</v>
      </c>
      <c r="J156" s="4">
        <f>B156-B155</f>
        <v>3.3800000000001091</v>
      </c>
      <c r="K156" s="4">
        <f t="shared" ref="K156" si="524">C156-C155</f>
        <v>13.75</v>
      </c>
      <c r="L156" s="4">
        <f t="shared" ref="L156" si="525">D156-D155</f>
        <v>2.8800000000001091</v>
      </c>
      <c r="M156" s="4">
        <f t="shared" ref="M156" si="526">E156-E155</f>
        <v>0.54999999999995453</v>
      </c>
      <c r="N156" s="4">
        <f t="shared" ref="N156" si="527">F156-F155</f>
        <v>0.66000000000008185</v>
      </c>
      <c r="O156" s="4">
        <f>G156-G155</f>
        <v>5.0200000000004366</v>
      </c>
      <c r="P156" s="4"/>
      <c r="Q156" s="26">
        <f t="shared" ref="Q156" si="528">SUM(J156:O156)</f>
        <v>26.240000000000691</v>
      </c>
    </row>
    <row r="157" spans="1:18" x14ac:dyDescent="0.25">
      <c r="A157" s="3">
        <v>45938</v>
      </c>
      <c r="B157" s="4">
        <v>5357.7</v>
      </c>
      <c r="C157" s="4">
        <v>25220.57</v>
      </c>
      <c r="D157" s="4">
        <v>5021.58</v>
      </c>
      <c r="E157" s="4">
        <v>1056.53</v>
      </c>
      <c r="F157" s="4">
        <v>1067.3399999999999</v>
      </c>
      <c r="G157" s="4">
        <v>9132.0300000000007</v>
      </c>
      <c r="H157" s="4"/>
      <c r="I157" s="6">
        <f>SUM(B157:G157)</f>
        <v>46855.749999999993</v>
      </c>
      <c r="J157" s="4">
        <f>B157-B156</f>
        <v>3.3999999999996362</v>
      </c>
      <c r="K157" s="4">
        <f t="shared" ref="K157" si="529">C157-C156</f>
        <v>12.43999999999869</v>
      </c>
      <c r="L157" s="4">
        <f t="shared" ref="L157" si="530">D157-D156</f>
        <v>2.8800000000001091</v>
      </c>
      <c r="M157" s="4">
        <f t="shared" ref="M157" si="531">E157-E156</f>
        <v>0.54999999999995453</v>
      </c>
      <c r="N157" s="4">
        <f t="shared" ref="N157" si="532">F157-F156</f>
        <v>0.65999999999985448</v>
      </c>
      <c r="O157" s="4">
        <f>G157-G156</f>
        <v>5.0300000000006548</v>
      </c>
      <c r="P157" s="4"/>
      <c r="Q157" s="26">
        <f t="shared" ref="Q157" si="533">SUM(J157:O157)</f>
        <v>24.9599999999989</v>
      </c>
    </row>
    <row r="158" spans="1:18" x14ac:dyDescent="0.25">
      <c r="A158" s="3">
        <v>45939</v>
      </c>
      <c r="B158" s="4">
        <v>5361.1</v>
      </c>
      <c r="C158" s="4">
        <v>25232.65</v>
      </c>
      <c r="D158" s="4">
        <v>5024.45</v>
      </c>
      <c r="E158" s="4">
        <v>1057.08</v>
      </c>
      <c r="F158" s="4">
        <v>1068</v>
      </c>
      <c r="G158" s="4">
        <v>9137.07</v>
      </c>
      <c r="H158" s="4"/>
      <c r="I158" s="6">
        <f>SUM(B158:G158)</f>
        <v>46880.35</v>
      </c>
      <c r="J158" s="4">
        <f>B158-B157</f>
        <v>3.4000000000005457</v>
      </c>
      <c r="K158" s="4">
        <f t="shared" ref="K158" si="534">C158-C157</f>
        <v>12.080000000001746</v>
      </c>
      <c r="L158" s="4">
        <f t="shared" ref="L158" si="535">D158-D157</f>
        <v>2.8699999999998909</v>
      </c>
      <c r="M158" s="4">
        <f t="shared" ref="M158" si="536">E158-E157</f>
        <v>0.54999999999995453</v>
      </c>
      <c r="N158" s="4">
        <f t="shared" ref="N158" si="537">F158-F157</f>
        <v>0.66000000000008185</v>
      </c>
      <c r="O158" s="4">
        <f>G158-G157</f>
        <v>5.0399999999990541</v>
      </c>
      <c r="P158" s="4"/>
      <c r="Q158" s="26">
        <f t="shared" ref="Q158" si="538">SUM(J158:O158)</f>
        <v>24.600000000001273</v>
      </c>
    </row>
    <row r="159" spans="1:18" x14ac:dyDescent="0.25">
      <c r="A159" s="3">
        <v>45940</v>
      </c>
      <c r="B159" s="4">
        <v>5364.5</v>
      </c>
      <c r="C159" s="4">
        <v>25247.31</v>
      </c>
      <c r="D159" s="4">
        <v>5027.33</v>
      </c>
      <c r="E159" s="4">
        <v>1057.6300000000001</v>
      </c>
      <c r="F159" s="4">
        <v>1068.6600000000001</v>
      </c>
      <c r="G159" s="4">
        <v>9142.11</v>
      </c>
      <c r="H159" s="4"/>
      <c r="I159" s="6">
        <f>SUM(B159:G159)</f>
        <v>46907.54</v>
      </c>
      <c r="J159" s="4">
        <f t="shared" ref="J159" si="539">B159-B158</f>
        <v>3.3999999999996362</v>
      </c>
      <c r="K159" s="4">
        <f t="shared" ref="K159" si="540">C159-C158</f>
        <v>14.659999999999854</v>
      </c>
      <c r="L159" s="4">
        <f t="shared" ref="L159" si="541">D159-D158</f>
        <v>2.8800000000001091</v>
      </c>
      <c r="M159" s="4">
        <f t="shared" ref="M159" si="542">E159-E158</f>
        <v>0.5500000000001819</v>
      </c>
      <c r="N159" s="4">
        <f t="shared" ref="N159" si="543">F159-F158</f>
        <v>0.66000000000008185</v>
      </c>
      <c r="O159" s="4">
        <f>G159-G158</f>
        <v>5.0400000000008731</v>
      </c>
      <c r="P159" s="4"/>
      <c r="Q159" s="26">
        <f t="shared" ref="Q159" si="544">SUM(J159:O159)</f>
        <v>27.190000000000737</v>
      </c>
    </row>
    <row r="160" spans="1:18" x14ac:dyDescent="0.25">
      <c r="A160" s="3">
        <v>45941</v>
      </c>
      <c r="B160" s="11">
        <v>5364.5</v>
      </c>
      <c r="C160" s="11">
        <v>25247.31</v>
      </c>
      <c r="D160" s="11">
        <v>5027.33</v>
      </c>
      <c r="E160" s="11">
        <v>1057.6300000000001</v>
      </c>
      <c r="F160" s="11">
        <v>1068.6600000000001</v>
      </c>
      <c r="G160" s="11">
        <v>9142.11</v>
      </c>
      <c r="H160" s="11"/>
      <c r="I160" s="34">
        <f t="shared" ref="I160:I161" si="545">SUM(B160:G160)</f>
        <v>46907.54</v>
      </c>
      <c r="J160" s="11">
        <f t="shared" ref="J160:J161" si="546">B160-B159</f>
        <v>0</v>
      </c>
      <c r="K160" s="11">
        <f t="shared" ref="K160:K161" si="547">C160-C159</f>
        <v>0</v>
      </c>
      <c r="L160" s="11">
        <f t="shared" ref="L160:L161" si="548">D160-D159</f>
        <v>0</v>
      </c>
      <c r="M160" s="11">
        <f t="shared" ref="M160:M161" si="549">E160-E159</f>
        <v>0</v>
      </c>
      <c r="N160" s="11">
        <f t="shared" ref="N160:N161" si="550">F160-F159</f>
        <v>0</v>
      </c>
      <c r="O160" s="11">
        <f t="shared" ref="O160:O161" si="551">G160-G159</f>
        <v>0</v>
      </c>
      <c r="P160" s="11"/>
      <c r="Q160" s="34"/>
    </row>
    <row r="161" spans="1:17" x14ac:dyDescent="0.25">
      <c r="A161" s="3">
        <v>45942</v>
      </c>
      <c r="B161" s="11">
        <v>5364.5</v>
      </c>
      <c r="C161" s="11">
        <v>25247.31</v>
      </c>
      <c r="D161" s="11">
        <v>5027.33</v>
      </c>
      <c r="E161" s="11">
        <v>1057.6300000000001</v>
      </c>
      <c r="F161" s="11">
        <v>1068.6600000000001</v>
      </c>
      <c r="G161" s="11">
        <v>9142.11</v>
      </c>
      <c r="H161" s="11"/>
      <c r="I161" s="34">
        <f t="shared" si="545"/>
        <v>46907.54</v>
      </c>
      <c r="J161" s="11">
        <f t="shared" si="546"/>
        <v>0</v>
      </c>
      <c r="K161" s="11">
        <f t="shared" si="547"/>
        <v>0</v>
      </c>
      <c r="L161" s="11">
        <f t="shared" si="548"/>
        <v>0</v>
      </c>
      <c r="M161" s="11">
        <f t="shared" si="549"/>
        <v>0</v>
      </c>
      <c r="N161" s="11">
        <f t="shared" si="550"/>
        <v>0</v>
      </c>
      <c r="O161" s="11">
        <f t="shared" si="551"/>
        <v>0</v>
      </c>
      <c r="P161" s="11"/>
      <c r="Q161" s="34"/>
    </row>
    <row r="162" spans="1:17" x14ac:dyDescent="0.25">
      <c r="A162" s="3">
        <v>45943</v>
      </c>
      <c r="B162" s="4">
        <v>5367.89</v>
      </c>
      <c r="C162" s="4">
        <v>25261.919999999998</v>
      </c>
      <c r="D162" s="4">
        <v>5030.2299999999996</v>
      </c>
      <c r="E162" s="4">
        <v>1058.18</v>
      </c>
      <c r="F162" s="4">
        <v>1069.32</v>
      </c>
      <c r="G162" s="4">
        <v>9147.15</v>
      </c>
      <c r="H162" s="4"/>
      <c r="I162" s="6">
        <f>SUM(B162:G162)</f>
        <v>46934.689999999995</v>
      </c>
      <c r="J162" s="4">
        <f t="shared" ref="J162:O162" si="552">B162-B159</f>
        <v>3.3900000000003274</v>
      </c>
      <c r="K162" s="4">
        <f t="shared" si="552"/>
        <v>14.609999999996944</v>
      </c>
      <c r="L162" s="4">
        <f t="shared" si="552"/>
        <v>2.8999999999996362</v>
      </c>
      <c r="M162" s="4">
        <f t="shared" si="552"/>
        <v>0.54999999999995453</v>
      </c>
      <c r="N162" s="4">
        <f t="shared" si="552"/>
        <v>0.65999999999985448</v>
      </c>
      <c r="O162" s="4">
        <f t="shared" si="552"/>
        <v>5.0399999999990541</v>
      </c>
      <c r="P162" s="4"/>
      <c r="Q162" s="26">
        <f>SUM(J162:O162)</f>
        <v>27.149999999995771</v>
      </c>
    </row>
    <row r="163" spans="1:17" x14ac:dyDescent="0.25">
      <c r="A163" s="3">
        <v>45944</v>
      </c>
      <c r="B163" s="4">
        <v>5371.3</v>
      </c>
      <c r="C163" s="4">
        <v>25276.33</v>
      </c>
      <c r="D163" s="4">
        <v>5033.1099999999997</v>
      </c>
      <c r="E163" s="4">
        <v>1058.73</v>
      </c>
      <c r="F163" s="4">
        <v>1069.98</v>
      </c>
      <c r="G163" s="4">
        <v>9152.19</v>
      </c>
      <c r="H163" s="4"/>
      <c r="I163" s="6">
        <f>SUM(B163:G163)</f>
        <v>46961.640000000007</v>
      </c>
      <c r="J163" s="4">
        <f t="shared" ref="J163:O163" si="553">B163-B162</f>
        <v>3.4099999999998545</v>
      </c>
      <c r="K163" s="4">
        <f t="shared" si="553"/>
        <v>14.410000000003492</v>
      </c>
      <c r="L163" s="4">
        <f t="shared" si="553"/>
        <v>2.8800000000001091</v>
      </c>
      <c r="M163" s="4">
        <f t="shared" si="553"/>
        <v>0.54999999999995453</v>
      </c>
      <c r="N163" s="4">
        <f t="shared" si="553"/>
        <v>0.66000000000008185</v>
      </c>
      <c r="O163" s="4">
        <f t="shared" si="553"/>
        <v>5.0400000000008731</v>
      </c>
      <c r="P163" s="4"/>
      <c r="Q163" s="26">
        <f t="shared" ref="Q163" si="554">I163-I162</f>
        <v>26.950000000011642</v>
      </c>
    </row>
    <row r="164" spans="1:17" x14ac:dyDescent="0.25">
      <c r="A164" s="3">
        <v>45945</v>
      </c>
      <c r="B164" s="4">
        <v>5374.71</v>
      </c>
      <c r="C164" s="4">
        <v>25290.82</v>
      </c>
      <c r="D164" s="4">
        <v>5035.9799999999996</v>
      </c>
      <c r="E164" s="4">
        <v>1059.28</v>
      </c>
      <c r="F164" s="4">
        <v>1070.6400000000001</v>
      </c>
      <c r="G164" s="4">
        <v>9157.24</v>
      </c>
      <c r="H164" s="4"/>
      <c r="I164" s="6">
        <f>SUM(B164:G164)</f>
        <v>46988.669999999991</v>
      </c>
      <c r="J164" s="4">
        <f>B164-B163</f>
        <v>3.4099999999998545</v>
      </c>
      <c r="K164" s="4">
        <f t="shared" ref="K164" si="555">C164-C163</f>
        <v>14.489999999997963</v>
      </c>
      <c r="L164" s="4">
        <f t="shared" ref="L164" si="556">D164-D163</f>
        <v>2.8699999999998909</v>
      </c>
      <c r="M164" s="4">
        <f t="shared" ref="M164" si="557">E164-E163</f>
        <v>0.54999999999995453</v>
      </c>
      <c r="N164" s="4">
        <f t="shared" ref="N164" si="558">F164-F163</f>
        <v>0.66000000000008185</v>
      </c>
      <c r="O164" s="4">
        <f t="shared" ref="O164" si="559">G164-G163</f>
        <v>5.0499999999992724</v>
      </c>
      <c r="P164" s="4"/>
      <c r="Q164" s="26">
        <f t="shared" ref="Q164" si="560">I164-I163</f>
        <v>27.029999999984284</v>
      </c>
    </row>
    <row r="165" spans="1:17" x14ac:dyDescent="0.25">
      <c r="A165" s="3">
        <v>45946</v>
      </c>
      <c r="B165" s="4">
        <v>5378.12</v>
      </c>
      <c r="C165" s="4">
        <v>25303.97</v>
      </c>
      <c r="D165" s="4">
        <v>5038.87</v>
      </c>
      <c r="E165" s="4">
        <v>1059.8399999999999</v>
      </c>
      <c r="F165" s="4">
        <v>1071.3</v>
      </c>
      <c r="G165" s="4">
        <v>9162.2900000000009</v>
      </c>
      <c r="H165" s="4"/>
      <c r="I165" s="6">
        <f>SUM(B165:G165)</f>
        <v>47014.39</v>
      </c>
      <c r="J165" s="4">
        <f>B165-B164</f>
        <v>3.4099999999998545</v>
      </c>
      <c r="K165" s="4">
        <f t="shared" ref="K165" si="561">C165-C164</f>
        <v>13.150000000001455</v>
      </c>
      <c r="L165" s="4">
        <f t="shared" ref="L165" si="562">D165-D164</f>
        <v>2.8900000000003274</v>
      </c>
      <c r="M165" s="4">
        <f t="shared" ref="M165" si="563">E165-E164</f>
        <v>0.55999999999994543</v>
      </c>
      <c r="N165" s="4">
        <f t="shared" ref="N165" si="564">F165-F164</f>
        <v>0.65999999999985448</v>
      </c>
      <c r="O165" s="4">
        <f t="shared" ref="O165" si="565">G165-G164</f>
        <v>5.0500000000010914</v>
      </c>
      <c r="P165" s="4"/>
      <c r="Q165" s="26">
        <f t="shared" ref="Q165" si="566">I165-I164</f>
        <v>25.72000000000844</v>
      </c>
    </row>
    <row r="166" spans="1:17" x14ac:dyDescent="0.25">
      <c r="A166" s="3">
        <v>45947</v>
      </c>
      <c r="B166" s="4">
        <v>5381.53</v>
      </c>
      <c r="C166" s="4">
        <v>25318</v>
      </c>
      <c r="D166" s="4">
        <v>5041.7700000000004</v>
      </c>
      <c r="E166" s="4">
        <v>1060.3900000000001</v>
      </c>
      <c r="F166" s="4">
        <v>1071.96</v>
      </c>
      <c r="G166" s="4">
        <v>9167.35</v>
      </c>
      <c r="H166" s="4"/>
      <c r="I166" s="6">
        <f>SUM(B166:G166)</f>
        <v>47041</v>
      </c>
      <c r="J166" s="4">
        <f>B166-B165</f>
        <v>3.4099999999998545</v>
      </c>
      <c r="K166" s="4">
        <f t="shared" ref="K166" si="567">C166-C165</f>
        <v>14.029999999998836</v>
      </c>
      <c r="L166" s="4">
        <f t="shared" ref="L166" si="568">D166-D165</f>
        <v>2.9000000000005457</v>
      </c>
      <c r="M166" s="4">
        <f t="shared" ref="M166" si="569">E166-E165</f>
        <v>0.5500000000001819</v>
      </c>
      <c r="N166" s="4">
        <f t="shared" ref="N166" si="570">F166-F165</f>
        <v>0.66000000000008185</v>
      </c>
      <c r="O166" s="4">
        <f t="shared" ref="O166" si="571">G166-G165</f>
        <v>5.0599999999994907</v>
      </c>
      <c r="P166" s="4"/>
      <c r="Q166" s="26">
        <f t="shared" ref="Q166" si="572">I166-I165</f>
        <v>26.610000000000582</v>
      </c>
    </row>
    <row r="167" spans="1:17" x14ac:dyDescent="0.25">
      <c r="A167" s="3">
        <v>45948</v>
      </c>
      <c r="B167" s="11">
        <v>5381.53</v>
      </c>
      <c r="C167" s="11">
        <v>25318</v>
      </c>
      <c r="D167" s="11">
        <v>5041.7700000000004</v>
      </c>
      <c r="E167" s="11">
        <v>1060.3900000000001</v>
      </c>
      <c r="F167" s="11">
        <v>1071.96</v>
      </c>
      <c r="G167" s="11">
        <v>9167.35</v>
      </c>
      <c r="H167" s="11"/>
      <c r="I167" s="34">
        <f t="shared" ref="I167:I171" si="573">SUM(B167:G167)</f>
        <v>47041</v>
      </c>
      <c r="J167" s="11">
        <f t="shared" ref="J167:J168" si="574">B167-B166</f>
        <v>0</v>
      </c>
      <c r="K167" s="11">
        <f t="shared" ref="K167:K168" si="575">C167-C166</f>
        <v>0</v>
      </c>
      <c r="L167" s="11">
        <f t="shared" ref="L167:L168" si="576">D167-D166</f>
        <v>0</v>
      </c>
      <c r="M167" s="11">
        <f t="shared" ref="M167:M168" si="577">E167-E166</f>
        <v>0</v>
      </c>
      <c r="N167" s="11">
        <f t="shared" ref="N167:N168" si="578">F167-F166</f>
        <v>0</v>
      </c>
      <c r="O167" s="11">
        <f t="shared" ref="O167:O168" si="579">G167-G166</f>
        <v>0</v>
      </c>
      <c r="P167" s="11"/>
      <c r="Q167" s="34"/>
    </row>
    <row r="168" spans="1:17" x14ac:dyDescent="0.25">
      <c r="A168" s="3">
        <v>45949</v>
      </c>
      <c r="B168" s="11">
        <v>5381.53</v>
      </c>
      <c r="C168" s="11">
        <v>25318</v>
      </c>
      <c r="D168" s="11">
        <v>5041.7700000000004</v>
      </c>
      <c r="E168" s="11">
        <v>1060.3900000000001</v>
      </c>
      <c r="F168" s="11">
        <v>1071.96</v>
      </c>
      <c r="G168" s="11">
        <v>9167.35</v>
      </c>
      <c r="H168" s="11"/>
      <c r="I168" s="34">
        <f t="shared" si="573"/>
        <v>47041</v>
      </c>
      <c r="J168" s="11">
        <f t="shared" si="574"/>
        <v>0</v>
      </c>
      <c r="K168" s="11">
        <f t="shared" si="575"/>
        <v>0</v>
      </c>
      <c r="L168" s="11">
        <f t="shared" si="576"/>
        <v>0</v>
      </c>
      <c r="M168" s="11">
        <f t="shared" si="577"/>
        <v>0</v>
      </c>
      <c r="N168" s="11">
        <f t="shared" si="578"/>
        <v>0</v>
      </c>
      <c r="O168" s="11">
        <f t="shared" si="579"/>
        <v>0</v>
      </c>
      <c r="P168" s="11"/>
      <c r="Q168" s="34"/>
    </row>
    <row r="169" spans="1:17" x14ac:dyDescent="0.25">
      <c r="A169" s="3">
        <v>45950</v>
      </c>
      <c r="B169" s="4">
        <v>5384.94</v>
      </c>
      <c r="C169" s="4">
        <v>25331.37</v>
      </c>
      <c r="D169" s="4">
        <v>5044.6499999999996</v>
      </c>
      <c r="E169" s="4">
        <v>1060.94</v>
      </c>
      <c r="F169" s="4">
        <v>1072.6199999999999</v>
      </c>
      <c r="G169" s="4">
        <v>9172.4</v>
      </c>
      <c r="H169" s="4"/>
      <c r="I169" s="6">
        <f t="shared" si="573"/>
        <v>47066.920000000006</v>
      </c>
      <c r="J169" s="4">
        <f t="shared" ref="J169" si="580">B169-B168</f>
        <v>3.4099999999998545</v>
      </c>
      <c r="K169" s="4">
        <f t="shared" ref="K169" si="581">C169-C168</f>
        <v>13.369999999998981</v>
      </c>
      <c r="L169" s="4">
        <f t="shared" ref="L169" si="582">D169-D168</f>
        <v>2.8799999999991996</v>
      </c>
      <c r="M169" s="4">
        <f t="shared" ref="M169" si="583">E169-E168</f>
        <v>0.54999999999995453</v>
      </c>
      <c r="N169" s="4">
        <f t="shared" ref="N169" si="584">F169-F168</f>
        <v>0.65999999999985448</v>
      </c>
      <c r="O169" s="4">
        <f t="shared" ref="O169" si="585">G169-G168</f>
        <v>5.0499999999992724</v>
      </c>
      <c r="P169" s="4"/>
      <c r="Q169" s="26">
        <f t="shared" ref="Q169" si="586">I169-I168</f>
        <v>25.92000000000553</v>
      </c>
    </row>
    <row r="170" spans="1:17" x14ac:dyDescent="0.25">
      <c r="A170" s="3">
        <v>45951</v>
      </c>
      <c r="B170" s="4">
        <v>5388.35</v>
      </c>
      <c r="C170" s="4">
        <v>25346.23</v>
      </c>
      <c r="D170" s="4">
        <v>5047.5600000000004</v>
      </c>
      <c r="E170" s="4">
        <v>1061.49</v>
      </c>
      <c r="F170" s="4">
        <v>1073.29</v>
      </c>
      <c r="G170" s="4">
        <v>9177.4599999999991</v>
      </c>
      <c r="H170" s="4"/>
      <c r="I170" s="6">
        <f t="shared" si="573"/>
        <v>47094.38</v>
      </c>
      <c r="J170" s="4">
        <f t="shared" ref="J170" si="587">B170-B169</f>
        <v>3.410000000000764</v>
      </c>
      <c r="K170" s="4">
        <f t="shared" ref="K170" si="588">C170-C169</f>
        <v>14.860000000000582</v>
      </c>
      <c r="L170" s="4">
        <f t="shared" ref="L170" si="589">D170-D169</f>
        <v>2.910000000000764</v>
      </c>
      <c r="M170" s="4">
        <f t="shared" ref="M170" si="590">E170-E169</f>
        <v>0.54999999999995453</v>
      </c>
      <c r="N170" s="4">
        <f t="shared" ref="N170" si="591">F170-F169</f>
        <v>0.67000000000007276</v>
      </c>
      <c r="O170" s="4">
        <f t="shared" ref="O170" si="592">G170-G169</f>
        <v>5.0599999999994907</v>
      </c>
      <c r="P170" s="4"/>
      <c r="Q170" s="26">
        <f t="shared" ref="Q170" si="593">I170-I169</f>
        <v>27.459999999991851</v>
      </c>
    </row>
    <row r="171" spans="1:17" x14ac:dyDescent="0.25">
      <c r="A171" s="3">
        <v>45952</v>
      </c>
      <c r="B171" s="4">
        <v>5391.77</v>
      </c>
      <c r="C171" s="4">
        <v>25359.82</v>
      </c>
      <c r="D171" s="4">
        <v>5050.4399999999996</v>
      </c>
      <c r="E171" s="4">
        <v>1062.05</v>
      </c>
      <c r="F171" s="4">
        <v>1073.95</v>
      </c>
      <c r="G171" s="4">
        <v>9182.51</v>
      </c>
      <c r="H171" s="4"/>
      <c r="I171" s="6">
        <f t="shared" si="573"/>
        <v>47120.54</v>
      </c>
      <c r="J171" s="4">
        <f t="shared" ref="J171" si="594">B171-B170</f>
        <v>3.4200000000000728</v>
      </c>
      <c r="K171" s="4">
        <f t="shared" ref="K171" si="595">C171-C170</f>
        <v>13.590000000000146</v>
      </c>
      <c r="L171" s="4">
        <f t="shared" ref="L171" si="596">D171-D170</f>
        <v>2.8799999999991996</v>
      </c>
      <c r="M171" s="4">
        <f t="shared" ref="M171" si="597">E171-E170</f>
        <v>0.55999999999994543</v>
      </c>
      <c r="N171" s="4">
        <f t="shared" ref="N171" si="598">F171-F170</f>
        <v>0.66000000000008185</v>
      </c>
      <c r="O171" s="4">
        <f t="shared" ref="O171" si="599">G171-G170</f>
        <v>5.0500000000010914</v>
      </c>
      <c r="P171" s="4"/>
      <c r="Q171" s="26">
        <f t="shared" ref="Q171" si="600">I171-I170</f>
        <v>26.160000000003492</v>
      </c>
    </row>
    <row r="172" spans="1:17" x14ac:dyDescent="0.25">
      <c r="A172" s="3">
        <v>45953</v>
      </c>
      <c r="B172" s="4">
        <v>5395.19</v>
      </c>
      <c r="C172" s="4">
        <v>25374.07</v>
      </c>
      <c r="D172" s="4">
        <v>5053.3500000000004</v>
      </c>
      <c r="E172" s="4">
        <v>1062.5999999999999</v>
      </c>
      <c r="F172" s="4">
        <v>1074.6099999999999</v>
      </c>
      <c r="G172" s="4">
        <v>9187.57</v>
      </c>
      <c r="H172" s="4"/>
      <c r="I172" s="6">
        <f t="shared" ref="I172:I173" si="601">SUM(B172:G172)</f>
        <v>47147.39</v>
      </c>
      <c r="J172" s="4">
        <f t="shared" ref="J172" si="602">B172-B171</f>
        <v>3.4199999999991633</v>
      </c>
      <c r="K172" s="4">
        <f t="shared" ref="K172" si="603">C172-C171</f>
        <v>14.25</v>
      </c>
      <c r="L172" s="4">
        <f t="shared" ref="L172" si="604">D172-D171</f>
        <v>2.910000000000764</v>
      </c>
      <c r="M172" s="4">
        <f t="shared" ref="M172" si="605">E172-E171</f>
        <v>0.54999999999995453</v>
      </c>
      <c r="N172" s="4">
        <f t="shared" ref="N172" si="606">F172-F171</f>
        <v>0.65999999999985448</v>
      </c>
      <c r="O172" s="4">
        <f t="shared" ref="O172" si="607">G172-G171</f>
        <v>5.0599999999994907</v>
      </c>
      <c r="P172" s="4"/>
      <c r="Q172" s="26">
        <f t="shared" ref="Q172:Q176" si="608">I172-I171</f>
        <v>26.849999999998545</v>
      </c>
    </row>
    <row r="173" spans="1:17" x14ac:dyDescent="0.25">
      <c r="A173" s="3">
        <v>45954</v>
      </c>
      <c r="B173" s="4">
        <v>5398.61</v>
      </c>
      <c r="C173" s="4">
        <v>25387.11</v>
      </c>
      <c r="D173" s="4">
        <v>5056.2299999999996</v>
      </c>
      <c r="E173" s="4">
        <v>1063.1500000000001</v>
      </c>
      <c r="F173" s="4">
        <v>1075.28</v>
      </c>
      <c r="G173" s="4">
        <v>9192.6299999999992</v>
      </c>
      <c r="H173" s="4"/>
      <c r="I173" s="6">
        <f t="shared" si="601"/>
        <v>47173.009999999995</v>
      </c>
      <c r="J173" s="4">
        <f t="shared" ref="J173" si="609">B173-B172</f>
        <v>3.4200000000000728</v>
      </c>
      <c r="K173" s="4">
        <f t="shared" ref="K173" si="610">C173-C172</f>
        <v>13.040000000000873</v>
      </c>
      <c r="L173" s="4">
        <f t="shared" ref="L173" si="611">D173-D172</f>
        <v>2.8799999999991996</v>
      </c>
      <c r="M173" s="4">
        <f t="shared" ref="M173" si="612">E173-E172</f>
        <v>0.5500000000001819</v>
      </c>
      <c r="N173" s="4">
        <f t="shared" ref="N173" si="613">F173-F172</f>
        <v>0.67000000000007276</v>
      </c>
      <c r="O173" s="4">
        <f t="shared" ref="O173" si="614">G173-G172</f>
        <v>5.0599999999994907</v>
      </c>
      <c r="P173" s="4"/>
      <c r="Q173" s="26">
        <f t="shared" ref="Q173" si="615">I173-I172</f>
        <v>25.619999999995343</v>
      </c>
    </row>
    <row r="174" spans="1:17" x14ac:dyDescent="0.25">
      <c r="A174" s="3">
        <v>45955</v>
      </c>
      <c r="B174" s="11">
        <v>5398.61</v>
      </c>
      <c r="C174" s="11">
        <v>25387.11</v>
      </c>
      <c r="D174" s="11">
        <v>5056.2299999999996</v>
      </c>
      <c r="E174" s="11">
        <v>1063.1500000000001</v>
      </c>
      <c r="F174" s="11">
        <v>1075.28</v>
      </c>
      <c r="G174" s="11">
        <v>9192.6299999999992</v>
      </c>
      <c r="H174" s="11"/>
      <c r="I174" s="34">
        <f t="shared" ref="I174:I175" si="616">SUM(B174:G174)</f>
        <v>47173.009999999995</v>
      </c>
      <c r="J174" s="11">
        <f t="shared" ref="J174:J175" si="617">B174-B173</f>
        <v>0</v>
      </c>
      <c r="K174" s="11">
        <f t="shared" ref="K174:K175" si="618">C174-C173</f>
        <v>0</v>
      </c>
      <c r="L174" s="11">
        <f t="shared" ref="L174:L175" si="619">D174-D173</f>
        <v>0</v>
      </c>
      <c r="M174" s="11">
        <f t="shared" ref="M174:M175" si="620">E174-E173</f>
        <v>0</v>
      </c>
      <c r="N174" s="11">
        <f t="shared" ref="N174:N175" si="621">F174-F173</f>
        <v>0</v>
      </c>
      <c r="O174" s="11">
        <f t="shared" ref="O174:O175" si="622">G174-G173</f>
        <v>0</v>
      </c>
      <c r="P174" s="11"/>
      <c r="Q174" s="34"/>
    </row>
    <row r="175" spans="1:17" x14ac:dyDescent="0.25">
      <c r="A175" s="3">
        <v>45956</v>
      </c>
      <c r="B175" s="11">
        <v>5398.61</v>
      </c>
      <c r="C175" s="11">
        <v>25387.11</v>
      </c>
      <c r="D175" s="11">
        <v>5056.2299999999996</v>
      </c>
      <c r="E175" s="11">
        <v>1063.1500000000001</v>
      </c>
      <c r="F175" s="11">
        <v>1075.28</v>
      </c>
      <c r="G175" s="11">
        <v>9192.6299999999992</v>
      </c>
      <c r="H175" s="11"/>
      <c r="I175" s="34">
        <f t="shared" si="616"/>
        <v>47173.009999999995</v>
      </c>
      <c r="J175" s="11">
        <f t="shared" si="617"/>
        <v>0</v>
      </c>
      <c r="K175" s="11">
        <f t="shared" si="618"/>
        <v>0</v>
      </c>
      <c r="L175" s="11">
        <f t="shared" si="619"/>
        <v>0</v>
      </c>
      <c r="M175" s="11">
        <f t="shared" si="620"/>
        <v>0</v>
      </c>
      <c r="N175" s="11">
        <f t="shared" si="621"/>
        <v>0</v>
      </c>
      <c r="O175" s="11">
        <f t="shared" si="622"/>
        <v>0</v>
      </c>
      <c r="P175" s="11"/>
      <c r="Q175" s="34"/>
    </row>
    <row r="176" spans="1:17" x14ac:dyDescent="0.25">
      <c r="A176" s="3">
        <v>45957</v>
      </c>
      <c r="B176" s="4">
        <v>5402.03</v>
      </c>
      <c r="C176" s="4">
        <v>25401.08</v>
      </c>
      <c r="D176" s="4">
        <v>5059.1400000000003</v>
      </c>
      <c r="E176" s="4">
        <v>1063.71</v>
      </c>
      <c r="F176" s="4">
        <v>1075.94</v>
      </c>
      <c r="G176" s="4">
        <v>9197.7000000000007</v>
      </c>
      <c r="H176" s="4"/>
      <c r="I176" s="6">
        <f t="shared" ref="I176" si="623">SUM(B176:G176)</f>
        <v>47199.600000000006</v>
      </c>
      <c r="J176" s="4">
        <f t="shared" ref="J176" si="624">B176-B175</f>
        <v>3.4200000000000728</v>
      </c>
      <c r="K176" s="4">
        <f t="shared" ref="K176" si="625">C176-C175</f>
        <v>13.970000000001164</v>
      </c>
      <c r="L176" s="4">
        <f t="shared" ref="L176" si="626">D176-D175</f>
        <v>2.910000000000764</v>
      </c>
      <c r="M176" s="4">
        <f t="shared" ref="M176" si="627">E176-E175</f>
        <v>0.55999999999994543</v>
      </c>
      <c r="N176" s="4">
        <f t="shared" ref="N176" si="628">F176-F175</f>
        <v>0.66000000000008185</v>
      </c>
      <c r="O176" s="4">
        <f t="shared" ref="O176" si="629">G176-G175</f>
        <v>5.070000000001528</v>
      </c>
      <c r="P176" s="4"/>
      <c r="Q176" s="26">
        <f t="shared" si="608"/>
        <v>26.590000000011059</v>
      </c>
    </row>
    <row r="177" spans="1:18" x14ac:dyDescent="0.25">
      <c r="A177" s="3">
        <v>45958</v>
      </c>
      <c r="B177" s="4">
        <v>5405.44</v>
      </c>
      <c r="C177" s="4">
        <v>25414.560000000001</v>
      </c>
      <c r="D177" s="4">
        <v>5062.03</v>
      </c>
      <c r="E177" s="4">
        <v>1064.26</v>
      </c>
      <c r="F177" s="4">
        <v>1076.5999999999999</v>
      </c>
      <c r="G177" s="4">
        <v>9202.77</v>
      </c>
      <c r="H177" s="4">
        <v>10000</v>
      </c>
      <c r="I177" s="6">
        <f>SUM(B177:H177)</f>
        <v>57225.66</v>
      </c>
      <c r="J177" s="4">
        <f t="shared" ref="J177" si="630">B177-B176</f>
        <v>3.4099999999998545</v>
      </c>
      <c r="K177" s="4">
        <f t="shared" ref="K177" si="631">C177-C176</f>
        <v>13.479999999999563</v>
      </c>
      <c r="L177" s="4">
        <f t="shared" ref="L177" si="632">D177-D176</f>
        <v>2.8899999999994179</v>
      </c>
      <c r="M177" s="4">
        <f t="shared" ref="M177" si="633">E177-E176</f>
        <v>0.54999999999995453</v>
      </c>
      <c r="N177" s="4">
        <f t="shared" ref="N177" si="634">F177-F176</f>
        <v>0.65999999999985448</v>
      </c>
      <c r="O177" s="4">
        <f t="shared" ref="O177" si="635">G177-G176</f>
        <v>5.069999999999709</v>
      </c>
      <c r="P177" s="4"/>
      <c r="Q177" s="26">
        <f>I177-I176-10000</f>
        <v>26.059999999997672</v>
      </c>
    </row>
    <row r="178" spans="1:18" x14ac:dyDescent="0.25">
      <c r="A178" s="3">
        <v>45959</v>
      </c>
      <c r="B178" s="4">
        <v>5408.88</v>
      </c>
      <c r="C178" s="4">
        <v>25426.959999999999</v>
      </c>
      <c r="D178" s="4">
        <v>5064.9399999999996</v>
      </c>
      <c r="E178" s="4">
        <v>1064.82</v>
      </c>
      <c r="F178" s="4">
        <v>1077.27</v>
      </c>
      <c r="G178" s="4">
        <v>9207.84</v>
      </c>
      <c r="H178" s="4">
        <v>10003.299999999999</v>
      </c>
      <c r="I178" s="6">
        <f>SUM(B178:H178)</f>
        <v>57254.009999999995</v>
      </c>
      <c r="J178" s="4">
        <f t="shared" ref="J178" si="636">B178-B177</f>
        <v>3.4400000000005093</v>
      </c>
      <c r="K178" s="4">
        <f t="shared" ref="K178" si="637">C178-C177</f>
        <v>12.399999999997817</v>
      </c>
      <c r="L178" s="4">
        <f t="shared" ref="L178" si="638">D178-D177</f>
        <v>2.9099999999998545</v>
      </c>
      <c r="M178" s="4">
        <f t="shared" ref="M178" si="639">E178-E177</f>
        <v>0.55999999999994543</v>
      </c>
      <c r="N178" s="4">
        <f t="shared" ref="N178" si="640">F178-F177</f>
        <v>0.67000000000007276</v>
      </c>
      <c r="O178" s="4">
        <f t="shared" ref="O178:P178" si="641">G178-G177</f>
        <v>5.069999999999709</v>
      </c>
      <c r="P178" s="4">
        <f t="shared" si="641"/>
        <v>3.2999999999992724</v>
      </c>
      <c r="Q178" s="26">
        <f>I178-I177</f>
        <v>28.349999999991269</v>
      </c>
    </row>
    <row r="179" spans="1:18" x14ac:dyDescent="0.25">
      <c r="A179" s="3">
        <v>45960</v>
      </c>
      <c r="B179" s="4">
        <v>5412.3</v>
      </c>
      <c r="C179" s="4">
        <v>25439.41</v>
      </c>
      <c r="D179" s="4">
        <v>5067.8500000000004</v>
      </c>
      <c r="E179" s="4">
        <v>1065.3699999999999</v>
      </c>
      <c r="F179" s="4">
        <v>1077.93</v>
      </c>
      <c r="G179" s="4">
        <v>9212.92</v>
      </c>
      <c r="H179" s="4">
        <v>10009.92</v>
      </c>
      <c r="I179" s="6">
        <f>SUM(B179:H179)</f>
        <v>57285.7</v>
      </c>
      <c r="J179" s="4">
        <f t="shared" ref="J179" si="642">B179-B178</f>
        <v>3.4200000000000728</v>
      </c>
      <c r="K179" s="4">
        <f t="shared" ref="K179" si="643">C179-C178</f>
        <v>12.450000000000728</v>
      </c>
      <c r="L179" s="4">
        <f t="shared" ref="L179" si="644">D179-D178</f>
        <v>2.910000000000764</v>
      </c>
      <c r="M179" s="4">
        <f t="shared" ref="M179" si="645">E179-E178</f>
        <v>0.54999999999995453</v>
      </c>
      <c r="N179" s="4">
        <f t="shared" ref="N179" si="646">F179-F178</f>
        <v>0.66000000000008185</v>
      </c>
      <c r="O179" s="4">
        <f t="shared" ref="O179" si="647">G179-G178</f>
        <v>5.0799999999999272</v>
      </c>
      <c r="P179" s="4">
        <f t="shared" ref="P179" si="648">H179-H178</f>
        <v>6.6200000000008004</v>
      </c>
      <c r="Q179" s="26">
        <f>I179-I178</f>
        <v>31.690000000002328</v>
      </c>
    </row>
    <row r="180" spans="1:18" x14ac:dyDescent="0.25">
      <c r="A180" s="3">
        <v>45961</v>
      </c>
      <c r="B180" s="4">
        <v>5415.7350000000006</v>
      </c>
      <c r="C180" s="4">
        <v>25452.02</v>
      </c>
      <c r="D180" s="4">
        <v>5070.7550000000001</v>
      </c>
      <c r="E180" s="4">
        <v>1065.93</v>
      </c>
      <c r="F180" s="4">
        <v>1078.5999999999999</v>
      </c>
      <c r="G180" s="4">
        <v>9218.01</v>
      </c>
      <c r="H180" s="4">
        <v>10016.549999999999</v>
      </c>
      <c r="I180" s="6">
        <f>SUM(B180:H180)</f>
        <v>57317.600000000006</v>
      </c>
      <c r="J180" s="4">
        <f t="shared" ref="J180" si="649">B180-B179</f>
        <v>3.4350000000004002</v>
      </c>
      <c r="K180" s="4">
        <f t="shared" ref="K180" si="650">C180-C179</f>
        <v>12.610000000000582</v>
      </c>
      <c r="L180" s="4">
        <f t="shared" ref="L180" si="651">D180-D179</f>
        <v>2.9049999999997453</v>
      </c>
      <c r="M180" s="4">
        <f t="shared" ref="M180" si="652">E180-E179</f>
        <v>0.5600000000001728</v>
      </c>
      <c r="N180" s="4">
        <f t="shared" ref="N180" si="653">F180-F179</f>
        <v>0.66999999999984539</v>
      </c>
      <c r="O180" s="4">
        <f t="shared" ref="O180" si="654">G180-G179</f>
        <v>5.0900000000001455</v>
      </c>
      <c r="P180" s="4">
        <f t="shared" ref="P180" si="655">H180-H179</f>
        <v>6.6299999999991996</v>
      </c>
      <c r="Q180" s="26">
        <f>I180-I179</f>
        <v>31.900000000008731</v>
      </c>
    </row>
    <row r="181" spans="1:18" x14ac:dyDescent="0.25">
      <c r="A181" s="5" t="s">
        <v>6</v>
      </c>
      <c r="B181" s="48"/>
      <c r="C181" s="48"/>
      <c r="D181" s="48"/>
      <c r="E181" s="48"/>
      <c r="F181" s="48"/>
      <c r="G181" s="48"/>
      <c r="H181" s="48"/>
      <c r="I181" s="48"/>
      <c r="J181" s="6">
        <f>SUM(J150:J180)</f>
        <v>78.375000000000909</v>
      </c>
      <c r="K181" s="6">
        <f t="shared" ref="K181:O181" si="656">SUM(K150:K180)</f>
        <v>311.76000000000204</v>
      </c>
      <c r="L181" s="6">
        <f t="shared" si="656"/>
        <v>66.425000000000182</v>
      </c>
      <c r="M181" s="6">
        <f t="shared" si="656"/>
        <v>12.700000000000045</v>
      </c>
      <c r="N181" s="6">
        <f t="shared" si="656"/>
        <v>15.209999999999809</v>
      </c>
      <c r="O181" s="6">
        <f t="shared" si="656"/>
        <v>112.8100000000004</v>
      </c>
      <c r="P181" s="6"/>
      <c r="Q181" s="6">
        <f>SUM(Q150:Q180)</f>
        <v>613.83000000001061</v>
      </c>
    </row>
    <row r="182" spans="1:18" x14ac:dyDescent="0.25">
      <c r="J182" s="62">
        <f>(J181/B150)</f>
        <v>1.4674905209942595E-2</v>
      </c>
      <c r="K182" s="62">
        <f t="shared" ref="K182:N182" si="657">(K181/C150)</f>
        <v>1.2394392626656373E-2</v>
      </c>
      <c r="L182" s="62">
        <f t="shared" si="657"/>
        <v>1.3265870614573821E-2</v>
      </c>
      <c r="M182" s="62">
        <f t="shared" si="657"/>
        <v>1.2051851430089815E-2</v>
      </c>
      <c r="N182" s="62">
        <f t="shared" si="657"/>
        <v>1.4294441050702326E-2</v>
      </c>
      <c r="O182" s="62">
        <f>(O181/G152)</f>
        <v>1.2373642091223436E-2</v>
      </c>
    </row>
    <row r="183" spans="1:18" x14ac:dyDescent="0.25">
      <c r="J183" s="62">
        <f>0.76*J182</f>
        <v>1.1152927959556372E-2</v>
      </c>
      <c r="K183" s="62">
        <f t="shared" ref="K183:O183" si="658">0.76*K182</f>
        <v>9.4197383962588439E-3</v>
      </c>
      <c r="L183" s="62">
        <f t="shared" si="658"/>
        <v>1.0082061667076104E-2</v>
      </c>
      <c r="M183" s="62">
        <f t="shared" si="658"/>
        <v>9.1594070868682587E-3</v>
      </c>
      <c r="N183" s="62">
        <f t="shared" si="658"/>
        <v>1.0863775198533768E-2</v>
      </c>
      <c r="O183" s="62">
        <f t="shared" si="658"/>
        <v>9.4039679893298117E-3</v>
      </c>
    </row>
    <row r="185" spans="1:18" x14ac:dyDescent="0.25">
      <c r="A185" s="3">
        <v>45964</v>
      </c>
      <c r="B185" s="4">
        <v>5419.17</v>
      </c>
      <c r="C185" s="4">
        <v>25467.02</v>
      </c>
      <c r="D185" s="4">
        <v>5073.66</v>
      </c>
      <c r="E185" s="4">
        <v>1066.48</v>
      </c>
      <c r="F185" s="4">
        <v>1079.27</v>
      </c>
      <c r="G185" s="4">
        <v>12223.1</v>
      </c>
      <c r="H185" s="4">
        <v>10023.18</v>
      </c>
      <c r="I185" s="6">
        <f>SUM(B185:H185)</f>
        <v>60351.880000000005</v>
      </c>
      <c r="J185" s="4">
        <f>B185-B180</f>
        <v>3.4349999999994907</v>
      </c>
      <c r="K185" s="4">
        <f t="shared" ref="K185:P185" si="659">C185-C180</f>
        <v>15</v>
      </c>
      <c r="L185" s="4">
        <f t="shared" si="659"/>
        <v>2.9049999999997453</v>
      </c>
      <c r="M185" s="4">
        <f t="shared" si="659"/>
        <v>0.54999999999995453</v>
      </c>
      <c r="N185" s="4">
        <f t="shared" si="659"/>
        <v>0.67000000000007276</v>
      </c>
      <c r="O185" s="4">
        <f>G185-G180-3000</f>
        <v>5.0900000000001455</v>
      </c>
      <c r="P185" s="4">
        <f t="shared" si="659"/>
        <v>6.6300000000010186</v>
      </c>
      <c r="Q185" s="26">
        <f>SUM(J185:P185)</f>
        <v>34.280000000000427</v>
      </c>
      <c r="R185" s="26">
        <f>AVERAGE(Q185:Q212)</f>
        <v>19.854210526315658</v>
      </c>
    </row>
    <row r="186" spans="1:18" x14ac:dyDescent="0.25">
      <c r="A186" s="3">
        <v>45965</v>
      </c>
      <c r="B186" s="4">
        <v>5422.62</v>
      </c>
      <c r="C186" s="4">
        <v>25479.85</v>
      </c>
      <c r="D186" s="4">
        <v>5076.57</v>
      </c>
      <c r="E186" s="4">
        <v>1067.04</v>
      </c>
      <c r="F186" s="4">
        <v>1079.93</v>
      </c>
      <c r="G186" s="4">
        <v>12229.84</v>
      </c>
      <c r="H186" s="4">
        <v>10029.81</v>
      </c>
      <c r="I186" s="6">
        <f>SUM(B186:H186)</f>
        <v>60385.659999999989</v>
      </c>
      <c r="J186" s="4">
        <f t="shared" ref="J186:K188" si="660">B186-B185</f>
        <v>3.4499999999998181</v>
      </c>
      <c r="K186" s="4">
        <f t="shared" si="660"/>
        <v>12.829999999998108</v>
      </c>
      <c r="L186" s="4">
        <f t="shared" ref="L186:Q186" si="661">D186-D185</f>
        <v>2.9099999999998545</v>
      </c>
      <c r="M186" s="4">
        <f t="shared" si="661"/>
        <v>0.55999999999994543</v>
      </c>
      <c r="N186" s="4">
        <f t="shared" si="661"/>
        <v>0.66000000000008185</v>
      </c>
      <c r="O186" s="4">
        <f t="shared" si="661"/>
        <v>6.7399999999997817</v>
      </c>
      <c r="P186" s="4">
        <f t="shared" si="661"/>
        <v>6.6299999999991996</v>
      </c>
      <c r="Q186" s="26">
        <f t="shared" si="661"/>
        <v>33.779999999984284</v>
      </c>
    </row>
    <row r="187" spans="1:18" x14ac:dyDescent="0.25">
      <c r="A187" s="3">
        <v>45966</v>
      </c>
      <c r="B187" s="4">
        <v>5426.04</v>
      </c>
      <c r="C187" s="4">
        <v>25493.759999999998</v>
      </c>
      <c r="D187" s="4">
        <v>5079.47</v>
      </c>
      <c r="E187" s="4">
        <v>1067.5899999999999</v>
      </c>
      <c r="F187" s="4">
        <v>1080.5999999999999</v>
      </c>
      <c r="G187" s="4">
        <v>12236.57</v>
      </c>
      <c r="H187" s="4">
        <v>10036.44</v>
      </c>
      <c r="I187" s="6">
        <f>SUM(B187:H187)</f>
        <v>60420.469999999994</v>
      </c>
      <c r="J187" s="4">
        <f t="shared" si="660"/>
        <v>3.4200000000000728</v>
      </c>
      <c r="K187" s="4">
        <f t="shared" si="660"/>
        <v>13.909999999999854</v>
      </c>
      <c r="L187" s="4">
        <f t="shared" ref="L187" si="662">D187-D186</f>
        <v>2.9000000000005457</v>
      </c>
      <c r="M187" s="4">
        <f t="shared" ref="M187" si="663">E187-E186</f>
        <v>0.54999999999995453</v>
      </c>
      <c r="N187" s="4">
        <f t="shared" ref="N187" si="664">F187-F186</f>
        <v>0.66999999999984539</v>
      </c>
      <c r="O187" s="4">
        <f t="shared" ref="O187" si="665">G187-G186</f>
        <v>6.7299999999995634</v>
      </c>
      <c r="P187" s="4">
        <f t="shared" ref="P187" si="666">H187-H186</f>
        <v>6.6300000000010186</v>
      </c>
      <c r="Q187" s="26">
        <f t="shared" ref="Q187" si="667">I187-I186</f>
        <v>34.810000000004948</v>
      </c>
    </row>
    <row r="188" spans="1:18" x14ac:dyDescent="0.25">
      <c r="A188" s="3">
        <v>45967</v>
      </c>
      <c r="B188" s="4">
        <v>5429.49</v>
      </c>
      <c r="C188" s="4">
        <v>25508.04</v>
      </c>
      <c r="D188" s="4">
        <v>5082.3900000000003</v>
      </c>
      <c r="E188" s="4">
        <v>1068.1500000000001</v>
      </c>
      <c r="F188" s="4">
        <v>1081.27</v>
      </c>
      <c r="G188" s="4">
        <v>12243.31</v>
      </c>
      <c r="H188" s="4">
        <v>10043.08</v>
      </c>
      <c r="I188" s="6">
        <f>SUM(B188:H188)</f>
        <v>60455.729999999996</v>
      </c>
      <c r="J188" s="4">
        <f t="shared" si="660"/>
        <v>3.4499999999998181</v>
      </c>
      <c r="K188" s="4">
        <f t="shared" si="660"/>
        <v>14.280000000002474</v>
      </c>
      <c r="L188" s="4">
        <f t="shared" ref="L188" si="668">D188-D187</f>
        <v>2.9200000000000728</v>
      </c>
      <c r="M188" s="4">
        <f t="shared" ref="M188" si="669">E188-E187</f>
        <v>0.5600000000001728</v>
      </c>
      <c r="N188" s="4">
        <f t="shared" ref="N188" si="670">F188-F187</f>
        <v>0.67000000000007276</v>
      </c>
      <c r="O188" s="4">
        <f t="shared" ref="O188" si="671">G188-G187</f>
        <v>6.7399999999997817</v>
      </c>
      <c r="P188" s="4">
        <f t="shared" ref="P188" si="672">H188-H187</f>
        <v>6.6399999999994179</v>
      </c>
      <c r="Q188" s="26">
        <f t="shared" ref="Q188" si="673">I188-I187</f>
        <v>35.260000000002037</v>
      </c>
    </row>
    <row r="189" spans="1:18" x14ac:dyDescent="0.25">
      <c r="A189" s="3">
        <v>45968</v>
      </c>
      <c r="B189" s="4">
        <v>5432.93</v>
      </c>
      <c r="C189" s="4">
        <v>25521.91</v>
      </c>
      <c r="D189" s="4">
        <v>5085.3100000000004</v>
      </c>
      <c r="E189" s="4">
        <v>1068.71</v>
      </c>
      <c r="F189" s="4">
        <v>1081.93</v>
      </c>
      <c r="G189" s="4">
        <v>12250.07</v>
      </c>
      <c r="H189" s="4">
        <v>10049.719999999999</v>
      </c>
      <c r="I189" s="6">
        <f>SUM(B189:H189)</f>
        <v>60490.58</v>
      </c>
      <c r="J189" s="4">
        <f t="shared" ref="J189" si="674">B189-B188</f>
        <v>3.4400000000005093</v>
      </c>
      <c r="K189" s="4">
        <f t="shared" ref="K189" si="675">C189-C188</f>
        <v>13.869999999998981</v>
      </c>
      <c r="L189" s="4">
        <f t="shared" ref="L189" si="676">D189-D188</f>
        <v>2.9200000000000728</v>
      </c>
      <c r="M189" s="4">
        <f t="shared" ref="M189" si="677">E189-E188</f>
        <v>0.55999999999994543</v>
      </c>
      <c r="N189" s="4">
        <f t="shared" ref="N189" si="678">F189-F188</f>
        <v>0.66000000000008185</v>
      </c>
      <c r="O189" s="4">
        <f t="shared" ref="O189" si="679">G189-G188</f>
        <v>6.7600000000002183</v>
      </c>
      <c r="P189" s="4">
        <f t="shared" ref="P189" si="680">H189-H188</f>
        <v>6.6399999999994179</v>
      </c>
      <c r="Q189" s="26">
        <f t="shared" ref="Q189:Q192" si="681">I189-I188</f>
        <v>34.850000000005821</v>
      </c>
    </row>
    <row r="190" spans="1:18" x14ac:dyDescent="0.25">
      <c r="A190" s="3">
        <v>45969</v>
      </c>
      <c r="B190" s="11">
        <v>5432.93</v>
      </c>
      <c r="C190" s="11">
        <v>25521.91</v>
      </c>
      <c r="D190" s="11">
        <v>5085.3100000000004</v>
      </c>
      <c r="E190" s="11">
        <v>1068.71</v>
      </c>
      <c r="F190" s="11">
        <v>1081.93</v>
      </c>
      <c r="G190" s="11">
        <v>12250.07</v>
      </c>
      <c r="H190" s="11">
        <v>10049.719999999999</v>
      </c>
      <c r="I190" s="34">
        <f t="shared" ref="I190:I191" si="682">SUM(B190:H190)</f>
        <v>60490.58</v>
      </c>
      <c r="J190" s="11">
        <f t="shared" ref="J190:J191" si="683">B190-B189</f>
        <v>0</v>
      </c>
      <c r="K190" s="11">
        <f t="shared" ref="K190:K191" si="684">C190-C189</f>
        <v>0</v>
      </c>
      <c r="L190" s="11">
        <f t="shared" ref="L190:L191" si="685">D190-D189</f>
        <v>0</v>
      </c>
      <c r="M190" s="11">
        <f t="shared" ref="M190:M191" si="686">E190-E189</f>
        <v>0</v>
      </c>
      <c r="N190" s="11">
        <f t="shared" ref="N190:N191" si="687">F190-F189</f>
        <v>0</v>
      </c>
      <c r="O190" s="11">
        <f t="shared" ref="O190:O191" si="688">G190-G189</f>
        <v>0</v>
      </c>
      <c r="P190" s="11">
        <f t="shared" ref="P190:P191" si="689">H190-H189</f>
        <v>0</v>
      </c>
      <c r="Q190" s="34"/>
    </row>
    <row r="191" spans="1:18" x14ac:dyDescent="0.25">
      <c r="A191" s="3">
        <v>45970</v>
      </c>
      <c r="B191" s="11">
        <v>5432.93</v>
      </c>
      <c r="C191" s="11">
        <v>25521.91</v>
      </c>
      <c r="D191" s="11">
        <v>5085.3100000000004</v>
      </c>
      <c r="E191" s="11">
        <v>1068.71</v>
      </c>
      <c r="F191" s="11">
        <v>1081.93</v>
      </c>
      <c r="G191" s="11">
        <v>12250.07</v>
      </c>
      <c r="H191" s="11">
        <v>10049.719999999999</v>
      </c>
      <c r="I191" s="34">
        <f t="shared" si="682"/>
        <v>60490.58</v>
      </c>
      <c r="J191" s="11">
        <f t="shared" si="683"/>
        <v>0</v>
      </c>
      <c r="K191" s="11">
        <f t="shared" si="684"/>
        <v>0</v>
      </c>
      <c r="L191" s="11">
        <f t="shared" si="685"/>
        <v>0</v>
      </c>
      <c r="M191" s="11">
        <f t="shared" si="686"/>
        <v>0</v>
      </c>
      <c r="N191" s="11">
        <f t="shared" si="687"/>
        <v>0</v>
      </c>
      <c r="O191" s="11">
        <f t="shared" si="688"/>
        <v>0</v>
      </c>
      <c r="P191" s="11">
        <f t="shared" si="689"/>
        <v>0</v>
      </c>
      <c r="Q191" s="34"/>
    </row>
    <row r="192" spans="1:18" x14ac:dyDescent="0.25">
      <c r="A192" s="3">
        <v>45971</v>
      </c>
      <c r="B192" s="4">
        <v>5436.38</v>
      </c>
      <c r="C192" s="4">
        <v>25536.27</v>
      </c>
      <c r="D192" s="4">
        <v>5088.21</v>
      </c>
      <c r="E192" s="4">
        <v>1069.26</v>
      </c>
      <c r="F192" s="4">
        <v>1082.5999999999999</v>
      </c>
      <c r="G192" s="4">
        <v>12256.81</v>
      </c>
      <c r="H192" s="4">
        <v>10056.370000000001</v>
      </c>
      <c r="I192" s="6">
        <f t="shared" ref="I192" si="690">SUM(B192:H192)</f>
        <v>60525.9</v>
      </c>
      <c r="J192" s="4">
        <f t="shared" ref="J192" si="691">B192-B191</f>
        <v>3.4499999999998181</v>
      </c>
      <c r="K192" s="4">
        <f t="shared" ref="K192" si="692">C192-C191</f>
        <v>14.360000000000582</v>
      </c>
      <c r="L192" s="4">
        <f t="shared" ref="L192" si="693">D192-D191</f>
        <v>2.8999999999996362</v>
      </c>
      <c r="M192" s="4">
        <f t="shared" ref="M192" si="694">E192-E191</f>
        <v>0.54999999999995453</v>
      </c>
      <c r="N192" s="4">
        <f t="shared" ref="N192" si="695">F192-F191</f>
        <v>0.66999999999984539</v>
      </c>
      <c r="O192" s="4">
        <f t="shared" ref="O192" si="696">G192-G191</f>
        <v>6.7399999999997817</v>
      </c>
      <c r="P192" s="4">
        <f t="shared" ref="P192" si="697">H192-H191</f>
        <v>6.6500000000014552</v>
      </c>
      <c r="Q192" s="26">
        <f t="shared" si="681"/>
        <v>35.319999999999709</v>
      </c>
    </row>
    <row r="193" spans="1:17" x14ac:dyDescent="0.25">
      <c r="A193" s="3">
        <v>45972</v>
      </c>
      <c r="B193" s="4">
        <v>5439.82</v>
      </c>
      <c r="C193" s="4">
        <v>25550.36</v>
      </c>
      <c r="D193" s="4">
        <v>5091.1400000000003</v>
      </c>
      <c r="E193" s="4">
        <v>1069.82</v>
      </c>
      <c r="F193" s="4">
        <v>1083.27</v>
      </c>
      <c r="G193" s="4">
        <v>12263.56</v>
      </c>
      <c r="H193" s="4">
        <v>10063.030000000001</v>
      </c>
      <c r="I193" s="6">
        <f t="shared" ref="I193" si="698">SUM(B193:H193)</f>
        <v>60560.999999999993</v>
      </c>
      <c r="J193" s="4">
        <f t="shared" ref="J193" si="699">B193-B192</f>
        <v>3.4399999999995998</v>
      </c>
      <c r="K193" s="4">
        <f t="shared" ref="K193" si="700">C193-C192</f>
        <v>14.090000000000146</v>
      </c>
      <c r="L193" s="4">
        <f t="shared" ref="L193" si="701">D193-D192</f>
        <v>2.930000000000291</v>
      </c>
      <c r="M193" s="4">
        <f t="shared" ref="M193" si="702">E193-E192</f>
        <v>0.55999999999994543</v>
      </c>
      <c r="N193" s="4">
        <f t="shared" ref="N193" si="703">F193-F192</f>
        <v>0.67000000000007276</v>
      </c>
      <c r="O193" s="4">
        <f t="shared" ref="O193" si="704">G193-G192</f>
        <v>6.75</v>
      </c>
      <c r="P193" s="4">
        <f t="shared" ref="P193" si="705">H193-H192</f>
        <v>6.6599999999998545</v>
      </c>
      <c r="Q193" s="26">
        <f t="shared" ref="Q193" si="706">I193-I192</f>
        <v>35.099999999991269</v>
      </c>
    </row>
    <row r="194" spans="1:17" x14ac:dyDescent="0.25">
      <c r="A194" s="3">
        <v>45973</v>
      </c>
      <c r="B194" s="4">
        <v>5443.27</v>
      </c>
      <c r="C194" s="4">
        <v>25564.6</v>
      </c>
      <c r="D194" s="4">
        <v>5094.0600000000004</v>
      </c>
      <c r="E194" s="4">
        <v>1070.3800000000001</v>
      </c>
      <c r="F194" s="4">
        <v>1083.94</v>
      </c>
      <c r="G194" s="4">
        <v>12270.34</v>
      </c>
      <c r="H194" s="4">
        <v>10069.68</v>
      </c>
      <c r="I194" s="6">
        <f t="shared" ref="I194:I196" si="707">SUM(B194:H194)</f>
        <v>60596.27</v>
      </c>
      <c r="J194" s="4">
        <f t="shared" ref="J194" si="708">B194-B193</f>
        <v>3.4500000000007276</v>
      </c>
      <c r="K194" s="4">
        <f t="shared" ref="K194" si="709">C194-C193</f>
        <v>14.239999999997963</v>
      </c>
      <c r="L194" s="4">
        <f t="shared" ref="L194" si="710">D194-D193</f>
        <v>2.9200000000000728</v>
      </c>
      <c r="M194" s="4">
        <f t="shared" ref="M194" si="711">E194-E193</f>
        <v>0.5600000000001728</v>
      </c>
      <c r="N194" s="4">
        <f t="shared" ref="N194" si="712">F194-F193</f>
        <v>0.67000000000007276</v>
      </c>
      <c r="O194" s="4">
        <f t="shared" ref="O194" si="713">G194-G193</f>
        <v>6.7800000000006548</v>
      </c>
      <c r="P194" s="4">
        <f t="shared" ref="P194" si="714">H194-H193</f>
        <v>6.6499999999996362</v>
      </c>
      <c r="Q194" s="26">
        <f t="shared" ref="Q194" si="715">I194-I193</f>
        <v>35.270000000004075</v>
      </c>
    </row>
    <row r="195" spans="1:17" x14ac:dyDescent="0.25">
      <c r="A195" s="3">
        <v>45974</v>
      </c>
      <c r="B195" s="4">
        <v>5446.73</v>
      </c>
      <c r="C195" s="4">
        <v>25577.7</v>
      </c>
      <c r="D195" s="4">
        <v>5096.97</v>
      </c>
      <c r="E195" s="4">
        <v>1070.93</v>
      </c>
      <c r="F195" s="4">
        <v>1084.6099999999999</v>
      </c>
      <c r="G195" s="4">
        <v>12277.1</v>
      </c>
      <c r="H195" s="4">
        <v>10076.34</v>
      </c>
      <c r="I195" s="6">
        <f t="shared" si="707"/>
        <v>60630.380000000005</v>
      </c>
      <c r="J195" s="4">
        <f t="shared" ref="J195" si="716">B195-B194</f>
        <v>3.4599999999991269</v>
      </c>
      <c r="K195" s="4">
        <f t="shared" ref="K195" si="717">C195-C194</f>
        <v>13.100000000002183</v>
      </c>
      <c r="L195" s="4">
        <f t="shared" ref="L195" si="718">D195-D194</f>
        <v>2.9099999999998545</v>
      </c>
      <c r="M195" s="4">
        <f t="shared" ref="M195" si="719">E195-E194</f>
        <v>0.54999999999995453</v>
      </c>
      <c r="N195" s="4">
        <f t="shared" ref="N195" si="720">F195-F194</f>
        <v>0.66999999999984539</v>
      </c>
      <c r="O195" s="4">
        <f t="shared" ref="O195" si="721">G195-G194</f>
        <v>6.7600000000002183</v>
      </c>
      <c r="P195" s="4">
        <f t="shared" ref="P195" si="722">H195-H194</f>
        <v>6.6599999999998545</v>
      </c>
      <c r="Q195" s="26">
        <f t="shared" ref="Q195" si="723">I195-I194</f>
        <v>34.110000000007858</v>
      </c>
    </row>
    <row r="196" spans="1:17" x14ac:dyDescent="0.25">
      <c r="A196" s="3">
        <v>45975</v>
      </c>
      <c r="B196" s="4">
        <v>5450.18</v>
      </c>
      <c r="C196" s="4">
        <v>25590.78</v>
      </c>
      <c r="D196" s="4">
        <v>5099.8999999999996</v>
      </c>
      <c r="E196" s="4">
        <v>1071.49</v>
      </c>
      <c r="F196" s="4">
        <v>1085.28</v>
      </c>
      <c r="G196" s="4">
        <v>12283.85</v>
      </c>
      <c r="H196" s="4">
        <v>10083.01</v>
      </c>
      <c r="I196" s="6">
        <f t="shared" si="707"/>
        <v>60664.49</v>
      </c>
      <c r="J196" s="4">
        <f t="shared" ref="J196" si="724">B196-B195</f>
        <v>3.4500000000007276</v>
      </c>
      <c r="K196" s="4">
        <f t="shared" ref="K196" si="725">C196-C195</f>
        <v>13.079999999998108</v>
      </c>
      <c r="L196" s="4">
        <f t="shared" ref="L196" si="726">D196-D195</f>
        <v>2.9299999999993815</v>
      </c>
      <c r="M196" s="4">
        <f t="shared" ref="M196" si="727">E196-E195</f>
        <v>0.55999999999994543</v>
      </c>
      <c r="N196" s="4">
        <f t="shared" ref="N196" si="728">F196-F195</f>
        <v>0.67000000000007276</v>
      </c>
      <c r="O196" s="4">
        <f t="shared" ref="O196" si="729">G196-G195</f>
        <v>6.75</v>
      </c>
      <c r="P196" s="4">
        <f t="shared" ref="P196" si="730">H196-H195</f>
        <v>6.6700000000000728</v>
      </c>
      <c r="Q196" s="26">
        <f t="shared" ref="Q196" si="731">I196-I195</f>
        <v>34.109999999993306</v>
      </c>
    </row>
    <row r="197" spans="1:17" x14ac:dyDescent="0.25">
      <c r="A197" s="3">
        <v>45976</v>
      </c>
      <c r="B197" s="11">
        <v>5450.18</v>
      </c>
      <c r="C197" s="11">
        <v>25590.78</v>
      </c>
      <c r="D197" s="11">
        <v>5099.8999999999996</v>
      </c>
      <c r="E197" s="11">
        <v>1071.49</v>
      </c>
      <c r="F197" s="11">
        <v>1085.28</v>
      </c>
      <c r="G197" s="11">
        <v>12283.85</v>
      </c>
      <c r="H197" s="11">
        <v>10083.01</v>
      </c>
      <c r="I197" s="34">
        <f t="shared" ref="I197:I198" si="732">SUM(B197:H197)</f>
        <v>60664.49</v>
      </c>
      <c r="J197" s="11">
        <f t="shared" ref="J197:J198" si="733">B197-B196</f>
        <v>0</v>
      </c>
      <c r="K197" s="11">
        <f t="shared" ref="K197:K198" si="734">C197-C196</f>
        <v>0</v>
      </c>
      <c r="L197" s="11">
        <f t="shared" ref="L197:L198" si="735">D197-D196</f>
        <v>0</v>
      </c>
      <c r="M197" s="11">
        <f t="shared" ref="M197:M198" si="736">E197-E196</f>
        <v>0</v>
      </c>
      <c r="N197" s="11">
        <f t="shared" ref="N197:N198" si="737">F197-F196</f>
        <v>0</v>
      </c>
      <c r="O197" s="11">
        <f t="shared" ref="O197:O198" si="738">G197-G196</f>
        <v>0</v>
      </c>
      <c r="P197" s="11">
        <f t="shared" ref="P197:P198" si="739">H197-H196</f>
        <v>0</v>
      </c>
      <c r="Q197" s="34"/>
    </row>
    <row r="198" spans="1:17" x14ac:dyDescent="0.25">
      <c r="A198" s="3">
        <v>45977</v>
      </c>
      <c r="B198" s="11">
        <v>5450.18</v>
      </c>
      <c r="C198" s="11">
        <v>25590.78</v>
      </c>
      <c r="D198" s="11">
        <v>5099.8999999999996</v>
      </c>
      <c r="E198" s="11">
        <v>1071.49</v>
      </c>
      <c r="F198" s="11">
        <v>1085.28</v>
      </c>
      <c r="G198" s="11">
        <v>12283.85</v>
      </c>
      <c r="H198" s="11">
        <v>10083.01</v>
      </c>
      <c r="I198" s="34">
        <f t="shared" si="732"/>
        <v>60664.49</v>
      </c>
      <c r="J198" s="11">
        <f t="shared" si="733"/>
        <v>0</v>
      </c>
      <c r="K198" s="11">
        <f t="shared" si="734"/>
        <v>0</v>
      </c>
      <c r="L198" s="11">
        <f t="shared" si="735"/>
        <v>0</v>
      </c>
      <c r="M198" s="11">
        <f t="shared" si="736"/>
        <v>0</v>
      </c>
      <c r="N198" s="11">
        <f t="shared" si="737"/>
        <v>0</v>
      </c>
      <c r="O198" s="11">
        <f t="shared" si="738"/>
        <v>0</v>
      </c>
      <c r="P198" s="11">
        <f t="shared" si="739"/>
        <v>0</v>
      </c>
      <c r="Q198" s="34"/>
    </row>
    <row r="199" spans="1:17" x14ac:dyDescent="0.25">
      <c r="A199" s="3">
        <v>45978</v>
      </c>
      <c r="B199" s="4">
        <v>5453.64</v>
      </c>
      <c r="C199" s="4">
        <v>25605.88</v>
      </c>
      <c r="D199" s="4">
        <v>5102.82</v>
      </c>
      <c r="E199" s="4">
        <v>1072.05</v>
      </c>
      <c r="F199" s="4">
        <v>1085.95</v>
      </c>
      <c r="G199" s="4">
        <v>12290.65</v>
      </c>
      <c r="H199" s="4">
        <v>10089.68</v>
      </c>
      <c r="I199" s="6">
        <f t="shared" ref="I199" si="740">SUM(B199:H199)</f>
        <v>60700.67</v>
      </c>
      <c r="J199" s="4">
        <f t="shared" ref="J199" si="741">B199-B198</f>
        <v>3.4600000000000364</v>
      </c>
      <c r="K199" s="4">
        <f t="shared" ref="K199" si="742">C199-C198</f>
        <v>15.100000000002183</v>
      </c>
      <c r="L199" s="4">
        <f t="shared" ref="L199" si="743">D199-D198</f>
        <v>2.9200000000000728</v>
      </c>
      <c r="M199" s="4">
        <f t="shared" ref="M199" si="744">E199-E198</f>
        <v>0.55999999999994543</v>
      </c>
      <c r="N199" s="4">
        <f t="shared" ref="N199" si="745">F199-F198</f>
        <v>0.67000000000007276</v>
      </c>
      <c r="O199" s="4">
        <f t="shared" ref="O199" si="746">G199-G198</f>
        <v>6.7999999999992724</v>
      </c>
      <c r="P199" s="4">
        <f t="shared" ref="P199" si="747">H199-H198</f>
        <v>6.6700000000000728</v>
      </c>
      <c r="Q199" s="26">
        <f t="shared" ref="Q199" si="748">I199-I198</f>
        <v>36.180000000000291</v>
      </c>
    </row>
    <row r="200" spans="1:17" x14ac:dyDescent="0.25">
      <c r="A200" s="3">
        <v>45979</v>
      </c>
      <c r="B200" s="4">
        <v>5457.09</v>
      </c>
      <c r="C200" s="4">
        <v>25619.61</v>
      </c>
      <c r="D200" s="4">
        <v>5105.75</v>
      </c>
      <c r="E200" s="4">
        <v>1072.6099999999999</v>
      </c>
      <c r="F200" s="4">
        <v>1086.6199999999999</v>
      </c>
      <c r="G200" s="4">
        <v>10289.74</v>
      </c>
      <c r="H200" s="4">
        <v>10096.36</v>
      </c>
      <c r="I200" s="6">
        <f t="shared" ref="I200" si="749">SUM(B200:H200)</f>
        <v>58727.78</v>
      </c>
      <c r="J200" s="4">
        <f t="shared" ref="J200" si="750">B200-B199</f>
        <v>3.4499999999998181</v>
      </c>
      <c r="K200" s="4">
        <f t="shared" ref="K200" si="751">C200-C199</f>
        <v>13.729999999999563</v>
      </c>
      <c r="L200" s="4">
        <f t="shared" ref="L200" si="752">D200-D199</f>
        <v>2.930000000000291</v>
      </c>
      <c r="M200" s="4">
        <f t="shared" ref="M200" si="753">E200-E199</f>
        <v>0.55999999999994543</v>
      </c>
      <c r="N200" s="4">
        <f t="shared" ref="N200" si="754">F200-F199</f>
        <v>0.66999999999984539</v>
      </c>
      <c r="O200" s="11">
        <f>G200-G199+2000</f>
        <v>-0.90999999999985448</v>
      </c>
      <c r="P200" s="4">
        <f t="shared" ref="P200" si="755">H200-H199</f>
        <v>6.680000000000291</v>
      </c>
      <c r="Q200" s="26">
        <f>I200-I199+2000</f>
        <v>27.110000000000582</v>
      </c>
    </row>
    <row r="201" spans="1:17" x14ac:dyDescent="0.25">
      <c r="A201" s="3">
        <v>45980</v>
      </c>
      <c r="B201" s="4">
        <v>5460.55</v>
      </c>
      <c r="C201" s="4">
        <v>25634.14</v>
      </c>
      <c r="D201" s="4">
        <v>5108.67</v>
      </c>
      <c r="E201" s="4">
        <v>1073.17</v>
      </c>
      <c r="F201" s="4">
        <v>1087.29</v>
      </c>
      <c r="G201" s="4">
        <v>10295.14</v>
      </c>
      <c r="H201" s="4">
        <v>10103.040000000001</v>
      </c>
      <c r="I201" s="6">
        <f t="shared" ref="I201" si="756">SUM(B201:H201)</f>
        <v>58762</v>
      </c>
      <c r="J201" s="4">
        <f t="shared" ref="J201" si="757">B201-B200</f>
        <v>3.4600000000000364</v>
      </c>
      <c r="K201" s="4">
        <f t="shared" ref="K201" si="758">C201-C200</f>
        <v>14.529999999998836</v>
      </c>
      <c r="L201" s="4">
        <f t="shared" ref="L201" si="759">D201-D200</f>
        <v>2.9200000000000728</v>
      </c>
      <c r="M201" s="4">
        <f t="shared" ref="M201" si="760">E201-E200</f>
        <v>0.5600000000001728</v>
      </c>
      <c r="N201" s="4">
        <f t="shared" ref="N201" si="761">F201-F200</f>
        <v>0.67000000000007276</v>
      </c>
      <c r="O201" s="4">
        <f>G201-G200</f>
        <v>5.3999999999996362</v>
      </c>
      <c r="P201" s="4">
        <f t="shared" ref="P201" si="762">H201-H200</f>
        <v>6.680000000000291</v>
      </c>
      <c r="Q201" s="26">
        <f>I201-I200</f>
        <v>34.220000000001164</v>
      </c>
    </row>
    <row r="202" spans="1:17" x14ac:dyDescent="0.25">
      <c r="A202" s="3">
        <v>45981</v>
      </c>
      <c r="B202" s="11">
        <v>5460.55</v>
      </c>
      <c r="C202" s="11">
        <v>25634.14</v>
      </c>
      <c r="D202" s="11">
        <v>5108.67</v>
      </c>
      <c r="E202" s="11">
        <v>1073.17</v>
      </c>
      <c r="F202" s="11">
        <v>1087.29</v>
      </c>
      <c r="G202" s="11">
        <v>10295.14</v>
      </c>
      <c r="H202" s="11">
        <v>10103.040000000001</v>
      </c>
      <c r="I202" s="34">
        <f t="shared" ref="I202:I203" si="763">SUM(B202:H202)</f>
        <v>58762</v>
      </c>
      <c r="J202" s="11">
        <f t="shared" ref="J202:J203" si="764">B202-B201</f>
        <v>0</v>
      </c>
      <c r="K202" s="11">
        <f t="shared" ref="K202:K203" si="765">C202-C201</f>
        <v>0</v>
      </c>
      <c r="L202" s="11">
        <f t="shared" ref="L202" si="766">D202-D201</f>
        <v>0</v>
      </c>
      <c r="M202" s="11">
        <f t="shared" ref="M202" si="767">E202-E201</f>
        <v>0</v>
      </c>
      <c r="N202" s="11">
        <f t="shared" ref="N202" si="768">F202-F201</f>
        <v>0</v>
      </c>
      <c r="O202" s="11">
        <f>G202-G201</f>
        <v>0</v>
      </c>
      <c r="P202" s="11">
        <f t="shared" ref="P202" si="769">H202-H201</f>
        <v>0</v>
      </c>
      <c r="Q202" s="34"/>
    </row>
    <row r="203" spans="1:17" x14ac:dyDescent="0.25">
      <c r="A203" s="3">
        <v>45982</v>
      </c>
      <c r="B203" s="4">
        <v>5464</v>
      </c>
      <c r="C203" s="4">
        <v>25648.1</v>
      </c>
      <c r="D203" s="4">
        <v>5111.6000000000004</v>
      </c>
      <c r="E203" s="4">
        <v>1073.73</v>
      </c>
      <c r="F203" s="4">
        <v>1087.96</v>
      </c>
      <c r="G203" s="4">
        <v>10301.1</v>
      </c>
      <c r="H203" s="4">
        <v>10109.719999999999</v>
      </c>
      <c r="I203" s="6">
        <f t="shared" si="763"/>
        <v>58796.21</v>
      </c>
      <c r="J203" s="4">
        <f t="shared" si="764"/>
        <v>3.4499999999998181</v>
      </c>
      <c r="K203" s="4">
        <f t="shared" si="765"/>
        <v>13.959999999999127</v>
      </c>
      <c r="L203" s="4">
        <f t="shared" ref="L203" si="770">D203-D202</f>
        <v>2.930000000000291</v>
      </c>
      <c r="M203" s="4">
        <f t="shared" ref="M203" si="771">E203-E202</f>
        <v>0.55999999999994543</v>
      </c>
      <c r="N203" s="4">
        <f t="shared" ref="N203" si="772">F203-F202</f>
        <v>0.67000000000007276</v>
      </c>
      <c r="O203" s="4">
        <f>G203-G202</f>
        <v>5.9600000000009459</v>
      </c>
      <c r="P203" s="4">
        <f t="shared" ref="P203" si="773">H203-H202</f>
        <v>6.679999999998472</v>
      </c>
      <c r="Q203" s="26">
        <f>I203-I202</f>
        <v>34.209999999999127</v>
      </c>
    </row>
    <row r="204" spans="1:17" x14ac:dyDescent="0.25">
      <c r="A204" s="3">
        <v>45983</v>
      </c>
      <c r="B204" s="11">
        <v>5464</v>
      </c>
      <c r="C204" s="11">
        <v>25648.1</v>
      </c>
      <c r="D204" s="11">
        <v>5111.6000000000004</v>
      </c>
      <c r="E204" s="11">
        <v>1073.73</v>
      </c>
      <c r="F204" s="11">
        <v>1087.96</v>
      </c>
      <c r="G204" s="11">
        <v>10301.1</v>
      </c>
      <c r="H204" s="11">
        <v>10109.719999999999</v>
      </c>
      <c r="I204" s="34">
        <f t="shared" ref="I204:I205" si="774">SUM(B204:H204)</f>
        <v>58796.21</v>
      </c>
      <c r="J204" s="11">
        <f t="shared" ref="J204:J205" si="775">B204-B203</f>
        <v>0</v>
      </c>
      <c r="K204" s="11">
        <f t="shared" ref="K204:K205" si="776">C204-C203</f>
        <v>0</v>
      </c>
      <c r="L204" s="11">
        <f t="shared" ref="L204:L205" si="777">D204-D203</f>
        <v>0</v>
      </c>
      <c r="M204" s="11">
        <f t="shared" ref="M204:M205" si="778">E204-E203</f>
        <v>0</v>
      </c>
      <c r="N204" s="11">
        <f t="shared" ref="N204:N205" si="779">F204-F203</f>
        <v>0</v>
      </c>
      <c r="O204" s="11">
        <f t="shared" ref="O204:O205" si="780">G204-G203</f>
        <v>0</v>
      </c>
      <c r="P204" s="11">
        <f t="shared" ref="P204:P205" si="781">H204-H203</f>
        <v>0</v>
      </c>
      <c r="Q204" s="34"/>
    </row>
    <row r="205" spans="1:17" x14ac:dyDescent="0.25">
      <c r="A205" s="3">
        <v>45984</v>
      </c>
      <c r="B205" s="11">
        <v>5464</v>
      </c>
      <c r="C205" s="11">
        <v>25648.1</v>
      </c>
      <c r="D205" s="11">
        <v>5111.6000000000004</v>
      </c>
      <c r="E205" s="11">
        <v>1073.73</v>
      </c>
      <c r="F205" s="11">
        <v>1087.96</v>
      </c>
      <c r="G205" s="11">
        <v>10301.1</v>
      </c>
      <c r="H205" s="11">
        <v>10109.719999999999</v>
      </c>
      <c r="I205" s="34">
        <f t="shared" si="774"/>
        <v>58796.21</v>
      </c>
      <c r="J205" s="11">
        <f t="shared" si="775"/>
        <v>0</v>
      </c>
      <c r="K205" s="11">
        <f t="shared" si="776"/>
        <v>0</v>
      </c>
      <c r="L205" s="11">
        <f t="shared" si="777"/>
        <v>0</v>
      </c>
      <c r="M205" s="11">
        <f t="shared" si="778"/>
        <v>0</v>
      </c>
      <c r="N205" s="11">
        <f t="shared" si="779"/>
        <v>0</v>
      </c>
      <c r="O205" s="11">
        <f t="shared" si="780"/>
        <v>0</v>
      </c>
      <c r="P205" s="11">
        <f t="shared" si="781"/>
        <v>0</v>
      </c>
      <c r="Q205" s="34"/>
    </row>
    <row r="206" spans="1:17" x14ac:dyDescent="0.25">
      <c r="A206" s="3">
        <v>45985</v>
      </c>
      <c r="B206" s="4">
        <v>5467.46</v>
      </c>
      <c r="C206" s="4">
        <v>25661.88</v>
      </c>
      <c r="D206" s="4">
        <v>5114.53</v>
      </c>
      <c r="E206" s="4">
        <v>1074.29</v>
      </c>
      <c r="F206" s="4">
        <v>1088.6300000000001</v>
      </c>
      <c r="G206" s="4">
        <v>10306.77</v>
      </c>
      <c r="H206" s="4">
        <v>10116.41</v>
      </c>
      <c r="I206" s="6">
        <f t="shared" ref="I206" si="782">SUM(B206:H206)</f>
        <v>58829.97</v>
      </c>
      <c r="J206" s="4">
        <f t="shared" ref="J206" si="783">B206-B205</f>
        <v>3.4600000000000364</v>
      </c>
      <c r="K206" s="4">
        <f t="shared" ref="K206" si="784">C206-C205</f>
        <v>13.780000000002474</v>
      </c>
      <c r="L206" s="4">
        <f t="shared" ref="L206" si="785">D206-D205</f>
        <v>2.9299999999993815</v>
      </c>
      <c r="M206" s="4">
        <f t="shared" ref="M206" si="786">E206-E205</f>
        <v>0.55999999999994543</v>
      </c>
      <c r="N206" s="4">
        <f t="shared" ref="N206" si="787">F206-F205</f>
        <v>0.67000000000007276</v>
      </c>
      <c r="O206" s="4">
        <f t="shared" ref="O206" si="788">G206-G205</f>
        <v>5.6700000000000728</v>
      </c>
      <c r="P206" s="4">
        <f t="shared" ref="P206" si="789">H206-H205</f>
        <v>6.6900000000005093</v>
      </c>
      <c r="Q206" s="26">
        <f t="shared" ref="Q206" si="790">I206-I205</f>
        <v>33.760000000002037</v>
      </c>
    </row>
    <row r="207" spans="1:17" x14ac:dyDescent="0.25">
      <c r="A207" s="3">
        <v>45986</v>
      </c>
      <c r="B207" s="4">
        <v>5470.9349999999995</v>
      </c>
      <c r="C207" s="4">
        <v>25675.355000000003</v>
      </c>
      <c r="D207" s="4">
        <v>5117.4650000000001</v>
      </c>
      <c r="E207" s="4">
        <v>1074.8499999999999</v>
      </c>
      <c r="F207" s="4">
        <v>1089.3050000000001</v>
      </c>
      <c r="G207" s="4">
        <v>10312.450000000001</v>
      </c>
      <c r="H207" s="4">
        <v>10123.105</v>
      </c>
      <c r="I207" s="6">
        <f t="shared" ref="I207:I210" si="791">SUM(B207:H207)</f>
        <v>58863.464999999997</v>
      </c>
      <c r="J207" s="4">
        <f t="shared" ref="J207:J208" si="792">B207-B206</f>
        <v>3.4749999999994543</v>
      </c>
      <c r="K207" s="4">
        <f t="shared" ref="K207:K208" si="793">C207-C206</f>
        <v>13.475000000002183</v>
      </c>
      <c r="L207" s="4">
        <f t="shared" ref="L207:L208" si="794">D207-D206</f>
        <v>2.9350000000004002</v>
      </c>
      <c r="M207" s="4">
        <f t="shared" ref="M207:M208" si="795">E207-E206</f>
        <v>0.55999999999994543</v>
      </c>
      <c r="N207" s="4">
        <f t="shared" ref="N207:N208" si="796">F207-F206</f>
        <v>0.67499999999995453</v>
      </c>
      <c r="O207" s="4">
        <f t="shared" ref="O207:O208" si="797">G207-G206</f>
        <v>5.680000000000291</v>
      </c>
      <c r="P207" s="4">
        <f t="shared" ref="P207:P208" si="798">H207-H206</f>
        <v>6.694999999999709</v>
      </c>
      <c r="Q207" s="26">
        <f t="shared" ref="Q207:Q208" si="799">I207-I206</f>
        <v>33.494999999995343</v>
      </c>
    </row>
    <row r="208" spans="1:17" x14ac:dyDescent="0.25">
      <c r="A208" s="3">
        <v>45987</v>
      </c>
      <c r="B208" s="4">
        <v>5474.41</v>
      </c>
      <c r="C208" s="4">
        <v>25688.83</v>
      </c>
      <c r="D208" s="4">
        <v>5120.3999999999996</v>
      </c>
      <c r="E208" s="4">
        <v>1075.4100000000001</v>
      </c>
      <c r="F208" s="4">
        <v>1089.98</v>
      </c>
      <c r="G208" s="4">
        <v>10318.129999999999</v>
      </c>
      <c r="H208" s="4">
        <v>10129.799999999999</v>
      </c>
      <c r="I208" s="6">
        <f t="shared" si="791"/>
        <v>58896.960000000006</v>
      </c>
      <c r="J208" s="4">
        <f t="shared" si="792"/>
        <v>3.4750000000003638</v>
      </c>
      <c r="K208" s="4">
        <f t="shared" si="793"/>
        <v>13.474999999998545</v>
      </c>
      <c r="L208" s="4">
        <f t="shared" si="794"/>
        <v>2.9349999999994907</v>
      </c>
      <c r="M208" s="4">
        <f t="shared" si="795"/>
        <v>0.5600000000001728</v>
      </c>
      <c r="N208" s="4">
        <f t="shared" si="796"/>
        <v>0.67499999999995453</v>
      </c>
      <c r="O208" s="4">
        <f t="shared" si="797"/>
        <v>5.679999999998472</v>
      </c>
      <c r="P208" s="4">
        <f t="shared" si="798"/>
        <v>6.694999999999709</v>
      </c>
      <c r="Q208" s="26">
        <f t="shared" si="799"/>
        <v>33.495000000009895</v>
      </c>
    </row>
    <row r="209" spans="1:17" x14ac:dyDescent="0.25">
      <c r="A209" s="3">
        <v>45988</v>
      </c>
      <c r="B209" s="4">
        <v>5477.88</v>
      </c>
      <c r="C209" s="4">
        <v>25567.730000000003</v>
      </c>
      <c r="D209" s="4">
        <v>5123.34</v>
      </c>
      <c r="E209" s="4">
        <v>1075.97</v>
      </c>
      <c r="F209" s="4">
        <v>1090.6500000000001</v>
      </c>
      <c r="G209" s="4">
        <v>10323.82</v>
      </c>
      <c r="H209" s="4">
        <v>10136.504999999999</v>
      </c>
      <c r="I209" s="6">
        <f t="shared" si="791"/>
        <v>58795.895000000004</v>
      </c>
      <c r="J209" s="4">
        <f t="shared" ref="J209:J210" si="800">B209-B208</f>
        <v>3.4700000000002547</v>
      </c>
      <c r="K209" s="4">
        <f t="shared" ref="K209:K210" si="801">C209-C208</f>
        <v>-121.09999999999854</v>
      </c>
      <c r="L209" s="4">
        <f t="shared" ref="L209:L210" si="802">D209-D208</f>
        <v>2.9400000000005093</v>
      </c>
      <c r="M209" s="4">
        <f t="shared" ref="M209:M210" si="803">E209-E208</f>
        <v>0.55999999999994543</v>
      </c>
      <c r="N209" s="4">
        <f t="shared" ref="N209:N210" si="804">F209-F208</f>
        <v>0.67000000000007276</v>
      </c>
      <c r="O209" s="4">
        <f t="shared" ref="O209:O210" si="805">G209-G208</f>
        <v>5.6900000000005093</v>
      </c>
      <c r="P209" s="4">
        <f t="shared" ref="P209:P210" si="806">H209-H208</f>
        <v>6.7049999999999272</v>
      </c>
      <c r="Q209" s="26">
        <f t="shared" ref="Q209:Q210" si="807">I209-I208</f>
        <v>-101.06500000000233</v>
      </c>
    </row>
    <row r="210" spans="1:17" x14ac:dyDescent="0.25">
      <c r="A210" s="3">
        <v>45989</v>
      </c>
      <c r="B210" s="4">
        <v>5481.35</v>
      </c>
      <c r="C210" s="4">
        <v>25446.63</v>
      </c>
      <c r="D210" s="4">
        <v>5126.28</v>
      </c>
      <c r="E210" s="4">
        <v>1076.53</v>
      </c>
      <c r="F210" s="4">
        <v>1091.32</v>
      </c>
      <c r="G210" s="4">
        <v>10329.51</v>
      </c>
      <c r="H210" s="4">
        <v>10143.209999999999</v>
      </c>
      <c r="I210" s="6">
        <f t="shared" si="791"/>
        <v>58694.83</v>
      </c>
      <c r="J210" s="4">
        <f t="shared" si="800"/>
        <v>3.4700000000002547</v>
      </c>
      <c r="K210" s="4">
        <f t="shared" si="801"/>
        <v>-121.10000000000218</v>
      </c>
      <c r="L210" s="4">
        <f t="shared" si="802"/>
        <v>2.9399999999995998</v>
      </c>
      <c r="M210" s="4">
        <f t="shared" si="803"/>
        <v>0.55999999999994543</v>
      </c>
      <c r="N210" s="4">
        <f t="shared" si="804"/>
        <v>0.66999999999984539</v>
      </c>
      <c r="O210" s="4">
        <f t="shared" si="805"/>
        <v>5.6900000000005093</v>
      </c>
      <c r="P210" s="4">
        <f t="shared" si="806"/>
        <v>6.7049999999999272</v>
      </c>
      <c r="Q210" s="26">
        <f t="shared" si="807"/>
        <v>-101.06500000000233</v>
      </c>
    </row>
    <row r="211" spans="1:17" x14ac:dyDescent="0.25">
      <c r="A211" s="3">
        <v>45990</v>
      </c>
      <c r="B211" s="11">
        <v>5481.35</v>
      </c>
      <c r="C211" s="11">
        <v>25446.63</v>
      </c>
      <c r="D211" s="11">
        <v>5126.28</v>
      </c>
      <c r="E211" s="11">
        <v>1076.53</v>
      </c>
      <c r="F211" s="11">
        <v>1091.32</v>
      </c>
      <c r="G211" s="11">
        <v>10329.51</v>
      </c>
      <c r="H211" s="11">
        <v>10143.209999999999</v>
      </c>
      <c r="I211" s="34">
        <f t="shared" ref="I211:I212" si="808">SUM(B211:H211)</f>
        <v>58694.83</v>
      </c>
      <c r="J211" s="11">
        <f t="shared" ref="J211:J212" si="809">B211-B210</f>
        <v>0</v>
      </c>
      <c r="K211" s="11">
        <f t="shared" ref="K211:K212" si="810">C211-C210</f>
        <v>0</v>
      </c>
      <c r="L211" s="11">
        <f t="shared" ref="L211:L212" si="811">D211-D210</f>
        <v>0</v>
      </c>
      <c r="M211" s="11">
        <f t="shared" ref="M211:M212" si="812">E211-E210</f>
        <v>0</v>
      </c>
      <c r="N211" s="11">
        <f t="shared" ref="N211:N212" si="813">F211-F210</f>
        <v>0</v>
      </c>
      <c r="O211" s="11">
        <f t="shared" ref="O211:O212" si="814">G211-G210</f>
        <v>0</v>
      </c>
      <c r="P211" s="11">
        <f t="shared" ref="P211:P212" si="815">H211-H210</f>
        <v>0</v>
      </c>
      <c r="Q211" s="34"/>
    </row>
    <row r="212" spans="1:17" x14ac:dyDescent="0.25">
      <c r="A212" s="3">
        <v>45991</v>
      </c>
      <c r="B212" s="11">
        <v>5481.35</v>
      </c>
      <c r="C212" s="11">
        <v>25446.63</v>
      </c>
      <c r="D212" s="11">
        <v>5126.28</v>
      </c>
      <c r="E212" s="11">
        <v>1076.53</v>
      </c>
      <c r="F212" s="11">
        <v>1091.32</v>
      </c>
      <c r="G212" s="11">
        <v>10329.51</v>
      </c>
      <c r="H212" s="11">
        <v>10143.209999999999</v>
      </c>
      <c r="I212" s="34">
        <f t="shared" si="808"/>
        <v>58694.83</v>
      </c>
      <c r="J212" s="11">
        <f t="shared" si="809"/>
        <v>0</v>
      </c>
      <c r="K212" s="11">
        <f t="shared" si="810"/>
        <v>0</v>
      </c>
      <c r="L212" s="11">
        <f t="shared" si="811"/>
        <v>0</v>
      </c>
      <c r="M212" s="11">
        <f t="shared" si="812"/>
        <v>0</v>
      </c>
      <c r="N212" s="11">
        <f t="shared" si="813"/>
        <v>0</v>
      </c>
      <c r="O212" s="11">
        <f t="shared" si="814"/>
        <v>0</v>
      </c>
      <c r="P212" s="11">
        <f t="shared" si="815"/>
        <v>0</v>
      </c>
      <c r="Q212" s="34"/>
    </row>
    <row r="213" spans="1:17" x14ac:dyDescent="0.25">
      <c r="A213" s="5" t="s">
        <v>6</v>
      </c>
      <c r="B213" s="48"/>
      <c r="C213" s="48"/>
      <c r="D213" s="48"/>
      <c r="E213" s="48"/>
      <c r="F213" s="48"/>
      <c r="G213" s="48"/>
      <c r="H213" s="48"/>
      <c r="I213" s="48"/>
      <c r="J213" s="6">
        <f>SUM(J185:J212)</f>
        <v>65.614999999999782</v>
      </c>
      <c r="K213" s="6">
        <f t="shared" ref="K213:P213" si="816">SUM(K185:K212)</f>
        <v>-5.3899999999994179</v>
      </c>
      <c r="L213" s="6">
        <f t="shared" si="816"/>
        <v>55.524999999999636</v>
      </c>
      <c r="M213" s="6">
        <f t="shared" si="816"/>
        <v>10.599999999999909</v>
      </c>
      <c r="N213" s="6">
        <f t="shared" si="816"/>
        <v>12.720000000000027</v>
      </c>
      <c r="O213" s="6">
        <f t="shared" si="816"/>
        <v>111.5</v>
      </c>
      <c r="P213" s="6">
        <f t="shared" si="816"/>
        <v>126.65999999999985</v>
      </c>
      <c r="Q213" s="6">
        <f>SUM(Q185:Q212)</f>
        <v>377.22999999999752</v>
      </c>
    </row>
    <row r="214" spans="1:17" x14ac:dyDescent="0.25">
      <c r="J214" s="62">
        <f>J213/B185</f>
        <v>1.2107942729237094E-2</v>
      </c>
      <c r="K214" s="62"/>
      <c r="L214" s="62">
        <f t="shared" ref="L214:P214" si="817">L213/D185</f>
        <v>1.0943776287729103E-2</v>
      </c>
      <c r="M214" s="62">
        <f t="shared" si="817"/>
        <v>9.9392393668891205E-3</v>
      </c>
      <c r="N214" s="62">
        <f t="shared" si="817"/>
        <v>1.1785744067749522E-2</v>
      </c>
      <c r="O214" s="62">
        <f t="shared" si="817"/>
        <v>9.1220721420916129E-3</v>
      </c>
      <c r="P214" s="62">
        <f t="shared" si="817"/>
        <v>1.2636708110599615E-2</v>
      </c>
    </row>
    <row r="215" spans="1:17" x14ac:dyDescent="0.25">
      <c r="B215" s="40"/>
      <c r="C215" s="40"/>
      <c r="D215" s="40"/>
      <c r="E215" s="40"/>
      <c r="F215" s="40"/>
      <c r="G215" s="40"/>
      <c r="H215" s="40"/>
    </row>
  </sheetData>
  <conditionalFormatting sqref="J2 J15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82:O18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P2 J15:P15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P2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6:P4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5:Q11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8:Q14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 K15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 L15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 M15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P2 N15:P15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P1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3 Q15:Q19 Q22:Q26 Q30:Q32 Q34 Q37:Q41 Q44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:Q19 Q22:Q26 Q30:Q32 Q34 Q37:Q41 Q44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9:Q52 Q55:Q59 Q62:Q66 Q69:Q73 Q76:Q7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86:Q90 Q83 Q93:Q97 Q100:Q104 Q107:Q11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17:Q14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0:Q162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0:Q18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8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85:Q2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Saldo mensal</vt:lpstr>
      <vt:lpstr>Consolidado</vt:lpstr>
      <vt:lpstr>Bradesco</vt:lpstr>
      <vt:lpstr>Nubank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 Furtado Aksenen</dc:creator>
  <cp:lastModifiedBy>Cleber Furtado Aksenen</cp:lastModifiedBy>
  <dcterms:created xsi:type="dcterms:W3CDTF">2024-09-15T22:32:58Z</dcterms:created>
  <dcterms:modified xsi:type="dcterms:W3CDTF">2026-02-24T18:43:06Z</dcterms:modified>
</cp:coreProperties>
</file>